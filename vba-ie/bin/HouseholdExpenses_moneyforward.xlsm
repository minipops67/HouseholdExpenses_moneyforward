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2"/>
  </bookViews>
  <sheets>
    <sheet name="all_sheet_name" sheetId="35" r:id="rId1"/>
    <sheet name="→  " sheetId="38" r:id="rId2"/>
    <sheet name="月次まとめ(20年)" sheetId="14" r:id="rId3"/>
    <sheet name="→ " sheetId="8" r:id="rId4"/>
    <sheet name="2001" sheetId="9" r:id="rId5"/>
    <sheet name="2002" sheetId="13" r:id="rId6"/>
    <sheet name="2003" sheetId="16" r:id="rId7"/>
    <sheet name="2004" sheetId="18" r:id="rId8"/>
    <sheet name="2005" sheetId="20" r:id="rId9"/>
    <sheet name="2006" sheetId="21" r:id="rId10"/>
    <sheet name="2007" sheetId="23" r:id="rId11"/>
    <sheet name="2008" sheetId="24" r:id="rId12"/>
    <sheet name="2009" sheetId="25" r:id="rId13"/>
    <sheet name="2010" sheetId="32" r:id="rId14"/>
    <sheet name="2011" sheetId="33" r:id="rId15"/>
    <sheet name="2012" sheetId="34" r:id="rId16"/>
    <sheet name="各月雛形" sheetId="40" r:id="rId17"/>
    <sheet name="テスト" sheetId="26" r:id="rId18"/>
    <sheet name="ダミーデータ" sheetId="56" r:id="rId19"/>
    <sheet name="→" sheetId="50" r:id="rId20"/>
    <sheet name="初めに" sheetId="57" r:id="rId21"/>
    <sheet name="操作マニュアル(例月転記）" sheetId="42" r:id="rId22"/>
    <sheet name="初期設定" sheetId="49" r:id="rId23"/>
  </sheets>
  <definedNames>
    <definedName name="_xlnm._FilterDatabase" localSheetId="17" hidden="1">テスト!$A$3:$I$90</definedName>
    <definedName name="_xlnm._FilterDatabase" localSheetId="16" hidden="1">各月雛形!$A$3:$I$90</definedName>
  </definedNames>
  <calcPr calcId="152511"/>
</workbook>
</file>

<file path=xl/calcChain.xml><?xml version="1.0" encoding="utf-8"?>
<calcChain xmlns="http://schemas.openxmlformats.org/spreadsheetml/2006/main">
  <c r="P17" i="14" l="1"/>
  <c r="O17" i="14"/>
  <c r="N17" i="14"/>
  <c r="M17" i="14"/>
  <c r="L17" i="14"/>
  <c r="K17" i="14"/>
  <c r="E17" i="14"/>
  <c r="I17" i="14"/>
  <c r="H17" i="14"/>
  <c r="G17" i="14"/>
  <c r="F17" i="14"/>
  <c r="J17" i="14"/>
  <c r="D73" i="20" l="1"/>
  <c r="D78" i="20" s="1"/>
  <c r="D60" i="20"/>
  <c r="D81" i="20" s="1"/>
  <c r="D50" i="20"/>
  <c r="D80" i="20" s="1"/>
  <c r="D35" i="20"/>
  <c r="D79" i="20" s="1"/>
  <c r="D88" i="21"/>
  <c r="D83" i="21"/>
  <c r="D72" i="21"/>
  <c r="D91" i="21" s="1"/>
  <c r="D62" i="21"/>
  <c r="D90" i="21" s="1"/>
  <c r="D47" i="21"/>
  <c r="D89" i="21" s="1"/>
  <c r="D340" i="40"/>
  <c r="D346" i="40" s="1"/>
  <c r="D226" i="40"/>
  <c r="D349" i="40" s="1"/>
  <c r="D205" i="40"/>
  <c r="D348" i="40" s="1"/>
  <c r="D102" i="40"/>
  <c r="D347" i="40" s="1"/>
  <c r="D82" i="20" l="1"/>
  <c r="D84" i="20" s="1"/>
  <c r="D92" i="21"/>
  <c r="D94" i="21" s="1"/>
  <c r="D97" i="21" s="1"/>
  <c r="D350" i="40"/>
  <c r="D352" i="40" s="1"/>
  <c r="I47" i="26" l="1"/>
  <c r="I51" i="26"/>
  <c r="I30" i="26"/>
  <c r="I20" i="26"/>
  <c r="I29" i="26"/>
  <c r="I39" i="26"/>
  <c r="I16" i="26"/>
  <c r="I32" i="26"/>
  <c r="I50" i="26"/>
  <c r="I45" i="26"/>
  <c r="I28" i="26"/>
  <c r="I36" i="26"/>
  <c r="I6" i="26"/>
  <c r="I42" i="26"/>
  <c r="I46" i="26"/>
  <c r="I21" i="26"/>
  <c r="I15" i="26"/>
  <c r="I8" i="26"/>
  <c r="I18" i="26"/>
  <c r="I23" i="26"/>
  <c r="I13" i="26"/>
  <c r="I12" i="26"/>
  <c r="I9" i="26"/>
  <c r="I48" i="26"/>
  <c r="I38" i="26"/>
  <c r="I49" i="26"/>
  <c r="I34" i="26"/>
  <c r="I14" i="26"/>
  <c r="I11" i="26"/>
  <c r="I31" i="26"/>
  <c r="I25" i="26"/>
  <c r="I41" i="26"/>
  <c r="I26" i="26"/>
  <c r="I43" i="26"/>
  <c r="I5" i="26"/>
  <c r="I37" i="26"/>
  <c r="I24" i="26"/>
  <c r="I40" i="26"/>
  <c r="I35" i="26"/>
  <c r="I44" i="26"/>
  <c r="I17" i="26"/>
  <c r="I27" i="26"/>
  <c r="I10" i="26"/>
  <c r="I33" i="26"/>
  <c r="I7" i="26"/>
  <c r="I19" i="26"/>
  <c r="I4"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I91" i="26"/>
  <c r="I92" i="26"/>
  <c r="I93" i="26"/>
  <c r="I94" i="26"/>
  <c r="I95" i="26"/>
  <c r="I96" i="26"/>
  <c r="I97" i="26"/>
  <c r="I98" i="26"/>
  <c r="I99" i="26"/>
  <c r="I100" i="26"/>
  <c r="I101" i="26"/>
  <c r="I102" i="26"/>
  <c r="I103" i="26"/>
  <c r="I104" i="26"/>
  <c r="I105" i="26"/>
  <c r="I106" i="26"/>
  <c r="I107" i="26"/>
  <c r="I108" i="26"/>
  <c r="I109" i="26"/>
  <c r="I110" i="26"/>
  <c r="I111" i="26"/>
  <c r="I112" i="26"/>
  <c r="I113" i="26"/>
  <c r="I114" i="26"/>
  <c r="I115" i="26"/>
  <c r="I116" i="26"/>
  <c r="I117" i="26"/>
  <c r="I118" i="26"/>
  <c r="I119" i="26"/>
  <c r="I120" i="26"/>
  <c r="I121" i="26"/>
  <c r="I122" i="26"/>
  <c r="I123" i="26"/>
  <c r="I124" i="26"/>
  <c r="I125" i="26"/>
  <c r="I126" i="26"/>
  <c r="I127" i="26"/>
  <c r="I128" i="26"/>
  <c r="I129" i="26"/>
  <c r="I130" i="26"/>
  <c r="I131" i="26"/>
  <c r="I132" i="26"/>
  <c r="I133" i="26"/>
  <c r="I134" i="26"/>
  <c r="I135" i="26"/>
  <c r="I136" i="26"/>
  <c r="I137" i="26"/>
  <c r="I138" i="26"/>
  <c r="I139" i="26"/>
  <c r="I140" i="26"/>
  <c r="I141" i="26"/>
  <c r="I142" i="26"/>
  <c r="I143" i="26"/>
  <c r="I144" i="26"/>
  <c r="I145" i="26"/>
  <c r="I146" i="26"/>
  <c r="I147" i="26"/>
  <c r="I148" i="26"/>
  <c r="I149" i="26"/>
  <c r="I150" i="26"/>
  <c r="I151" i="26"/>
  <c r="I152" i="26"/>
  <c r="I153" i="26"/>
  <c r="I154" i="26"/>
  <c r="I155" i="26"/>
  <c r="I156" i="26"/>
  <c r="I157" i="26"/>
  <c r="I158" i="26"/>
  <c r="I159" i="26"/>
  <c r="I160" i="26"/>
  <c r="I161" i="26"/>
  <c r="I162" i="26"/>
  <c r="I163" i="26"/>
  <c r="I164" i="26"/>
  <c r="I165" i="26"/>
  <c r="I166" i="26"/>
  <c r="I167" i="26"/>
  <c r="I168" i="26"/>
  <c r="I169" i="26"/>
  <c r="I170" i="26"/>
  <c r="I171" i="26"/>
  <c r="I172" i="26"/>
  <c r="I173" i="26"/>
  <c r="I174" i="26"/>
  <c r="I175" i="26"/>
  <c r="I176" i="26"/>
  <c r="I177" i="26"/>
  <c r="I178" i="26"/>
  <c r="I179" i="26"/>
  <c r="I180" i="26"/>
  <c r="I181" i="26"/>
  <c r="I182" i="26"/>
  <c r="I183" i="26"/>
  <c r="I184" i="26"/>
  <c r="I185" i="26"/>
  <c r="I22" i="26"/>
  <c r="L16" i="14"/>
  <c r="J16" i="14"/>
  <c r="F16" i="14"/>
  <c r="L8" i="14"/>
  <c r="L7" i="14"/>
  <c r="L6" i="14"/>
  <c r="L5" i="14"/>
  <c r="L4" i="14"/>
  <c r="L3" i="14"/>
  <c r="I16" i="14"/>
  <c r="I14" i="14"/>
  <c r="I13" i="14"/>
  <c r="I12" i="14"/>
  <c r="I11" i="14"/>
  <c r="I8" i="14"/>
  <c r="I7" i="14"/>
  <c r="I6" i="14"/>
  <c r="I5" i="14"/>
  <c r="I4" i="14"/>
  <c r="I3" i="14"/>
  <c r="H16" i="14"/>
  <c r="H8" i="14"/>
  <c r="H7" i="14"/>
  <c r="H6" i="14"/>
  <c r="H5" i="14"/>
  <c r="H4" i="14"/>
  <c r="H3" i="14"/>
  <c r="E3" i="14"/>
  <c r="G16" i="14"/>
  <c r="G8" i="14"/>
  <c r="G7" i="14"/>
  <c r="G6" i="14"/>
  <c r="G5" i="14"/>
  <c r="G4" i="14"/>
  <c r="G3" i="14"/>
  <c r="E16" i="14"/>
  <c r="E8" i="14"/>
  <c r="E7" i="14"/>
  <c r="E6" i="14"/>
  <c r="E5" i="14"/>
  <c r="E4" i="14"/>
  <c r="D83" i="24" l="1"/>
  <c r="D88" i="24" s="1"/>
  <c r="D72" i="24"/>
  <c r="D91" i="24" s="1"/>
  <c r="L13" i="14" s="1"/>
  <c r="D63" i="24"/>
  <c r="D90" i="24" s="1"/>
  <c r="L12" i="14" s="1"/>
  <c r="D46" i="24"/>
  <c r="D89" i="24" s="1"/>
  <c r="L11" i="14" s="1"/>
  <c r="D92" i="24" l="1"/>
  <c r="L14" i="14" s="1"/>
  <c r="D94" i="24"/>
  <c r="D84" i="18" l="1"/>
  <c r="D89" i="18" s="1"/>
  <c r="D73" i="18"/>
  <c r="D92" i="18" s="1"/>
  <c r="H13" i="14" s="1"/>
  <c r="D58" i="18"/>
  <c r="D91" i="18" s="1"/>
  <c r="H12" i="14" s="1"/>
  <c r="D40" i="18"/>
  <c r="D90" i="18" s="1"/>
  <c r="H11" i="14" s="1"/>
  <c r="D93" i="18" l="1"/>
  <c r="D89" i="16"/>
  <c r="D94" i="16" s="1"/>
  <c r="D79" i="16"/>
  <c r="D97" i="16" s="1"/>
  <c r="G13" i="14" s="1"/>
  <c r="D64" i="16"/>
  <c r="D96" i="16" s="1"/>
  <c r="G12" i="14" s="1"/>
  <c r="D45" i="16"/>
  <c r="D95" i="16" s="1"/>
  <c r="G11" i="14" s="1"/>
  <c r="D84" i="13"/>
  <c r="D89" i="13" s="1"/>
  <c r="D73" i="13"/>
  <c r="D92" i="13" s="1"/>
  <c r="D58" i="13"/>
  <c r="D91" i="13" s="1"/>
  <c r="D41" i="13"/>
  <c r="D90" i="13" s="1"/>
  <c r="D47" i="9"/>
  <c r="D80" i="9" s="1"/>
  <c r="E12" i="14" s="1"/>
  <c r="D73" i="9"/>
  <c r="D78" i="9" s="1"/>
  <c r="D62" i="9"/>
  <c r="D81" i="9" s="1"/>
  <c r="E13" i="14" s="1"/>
  <c r="D30" i="9"/>
  <c r="D79" i="9" s="1"/>
  <c r="E11" i="14" s="1"/>
  <c r="D95" i="18" l="1"/>
  <c r="H14" i="14"/>
  <c r="D98" i="16"/>
  <c r="D93" i="13"/>
  <c r="D95" i="13" s="1"/>
  <c r="D82" i="9"/>
  <c r="D100" i="16" l="1"/>
  <c r="G14" i="14"/>
  <c r="D84" i="9"/>
  <c r="E14" i="14"/>
  <c r="D186" i="26"/>
  <c r="J13" i="14"/>
  <c r="J12" i="14"/>
  <c r="J11" i="14"/>
  <c r="J8" i="14"/>
  <c r="J7" i="14"/>
  <c r="J6" i="14"/>
  <c r="J5" i="14"/>
  <c r="J4" i="14"/>
  <c r="J3" i="14"/>
  <c r="F14" i="14"/>
  <c r="F13" i="14"/>
  <c r="F12" i="14"/>
  <c r="F11" i="14"/>
  <c r="F8" i="14"/>
  <c r="F7" i="14"/>
  <c r="F6" i="14"/>
  <c r="F5" i="14"/>
  <c r="F4" i="14"/>
  <c r="F3" i="14"/>
  <c r="J14" i="14" l="1"/>
  <c r="D83" i="34" l="1"/>
  <c r="E122" i="34" l="1"/>
  <c r="C122" i="34"/>
  <c r="E121" i="34"/>
  <c r="C121" i="34"/>
  <c r="E120" i="34"/>
  <c r="C120" i="34"/>
  <c r="E119" i="34"/>
  <c r="C119" i="34"/>
  <c r="D112" i="34"/>
  <c r="D119" i="34" s="1"/>
  <c r="D98" i="34"/>
  <c r="D122" i="34" s="1"/>
  <c r="D121" i="34"/>
  <c r="D59" i="34"/>
  <c r="D120" i="34" s="1"/>
  <c r="P16" i="14" l="1"/>
  <c r="P13" i="14"/>
  <c r="P7" i="14"/>
  <c r="P3" i="14"/>
  <c r="P8" i="14"/>
  <c r="P4" i="14"/>
  <c r="P11" i="14"/>
  <c r="P5" i="14"/>
  <c r="P12" i="14"/>
  <c r="P6" i="14"/>
  <c r="D123" i="34"/>
  <c r="P14" i="14" s="1"/>
  <c r="D125" i="34"/>
  <c r="D127" i="34" s="1"/>
  <c r="P9" i="14" l="1"/>
  <c r="E119" i="33"/>
  <c r="C119" i="33"/>
  <c r="E118" i="33"/>
  <c r="C118" i="33"/>
  <c r="E117" i="33"/>
  <c r="C117" i="33"/>
  <c r="E116" i="33"/>
  <c r="C116" i="33"/>
  <c r="D109" i="33"/>
  <c r="D116" i="33" s="1"/>
  <c r="D95" i="33"/>
  <c r="D119" i="33" s="1"/>
  <c r="D80" i="33"/>
  <c r="D118" i="33" s="1"/>
  <c r="D58" i="33"/>
  <c r="D117" i="33" s="1"/>
  <c r="O16" i="14" l="1"/>
  <c r="O13" i="14"/>
  <c r="O8" i="14"/>
  <c r="O7" i="14"/>
  <c r="O4" i="14"/>
  <c r="O12" i="14"/>
  <c r="O11" i="14"/>
  <c r="O6" i="14"/>
  <c r="O5" i="14"/>
  <c r="O3" i="14"/>
  <c r="D120" i="33"/>
  <c r="O14" i="14" s="1"/>
  <c r="D82" i="32"/>
  <c r="D60" i="32"/>
  <c r="O9" i="14" l="1"/>
  <c r="D122" i="33"/>
  <c r="D124" i="33" s="1"/>
  <c r="E121" i="32"/>
  <c r="C121" i="32"/>
  <c r="E120" i="32"/>
  <c r="C120" i="32"/>
  <c r="E119" i="32"/>
  <c r="C119" i="32"/>
  <c r="E118" i="32"/>
  <c r="C118" i="32"/>
  <c r="D111" i="32"/>
  <c r="D118" i="32" s="1"/>
  <c r="D97" i="32"/>
  <c r="D121" i="32" s="1"/>
  <c r="D120" i="32"/>
  <c r="D119" i="32"/>
  <c r="N16" i="14" l="1"/>
  <c r="N12" i="14"/>
  <c r="N6" i="14"/>
  <c r="N13" i="14"/>
  <c r="N7" i="14"/>
  <c r="N3" i="14"/>
  <c r="N8" i="14"/>
  <c r="N4" i="14"/>
  <c r="N11" i="14"/>
  <c r="N5" i="14"/>
  <c r="D122" i="32"/>
  <c r="N14" i="14" s="1"/>
  <c r="N9" i="14" l="1"/>
  <c r="D124" i="32"/>
  <c r="D126" i="32" s="1"/>
  <c r="E109" i="25"/>
  <c r="C109" i="25"/>
  <c r="E108" i="25"/>
  <c r="C108" i="25"/>
  <c r="E107" i="25"/>
  <c r="C107" i="25"/>
  <c r="E106" i="25"/>
  <c r="C106" i="25"/>
  <c r="D99" i="25"/>
  <c r="D106" i="25" s="1"/>
  <c r="D86" i="25"/>
  <c r="D109" i="25" s="1"/>
  <c r="D74" i="25"/>
  <c r="D108" i="25" s="1"/>
  <c r="D56" i="25"/>
  <c r="D107" i="25" s="1"/>
  <c r="M16" i="14" l="1"/>
  <c r="M11" i="14"/>
  <c r="M5" i="14"/>
  <c r="M12" i="14"/>
  <c r="M6" i="14"/>
  <c r="M13" i="14"/>
  <c r="M7" i="14"/>
  <c r="M3" i="14"/>
  <c r="M9" i="14" s="1"/>
  <c r="M8" i="14"/>
  <c r="M4" i="14"/>
  <c r="D110" i="25"/>
  <c r="M14" i="14" s="1"/>
  <c r="D112" i="25" l="1"/>
  <c r="D114" i="25" s="1"/>
  <c r="L9" i="14"/>
  <c r="D111" i="23" l="1"/>
  <c r="D90" i="23"/>
  <c r="E150" i="23" l="1"/>
  <c r="C150" i="23"/>
  <c r="E149" i="23"/>
  <c r="C149" i="23"/>
  <c r="E148" i="23"/>
  <c r="C148" i="23"/>
  <c r="E147" i="23"/>
  <c r="C147" i="23"/>
  <c r="D140" i="23"/>
  <c r="D147" i="23" s="1"/>
  <c r="D126" i="23"/>
  <c r="D150" i="23" s="1"/>
  <c r="D149" i="23"/>
  <c r="D148" i="23"/>
  <c r="K16" i="14" l="1"/>
  <c r="K13" i="14"/>
  <c r="K7" i="14"/>
  <c r="W7" i="14" s="1"/>
  <c r="K3" i="14"/>
  <c r="W3" i="14" s="1"/>
  <c r="K12" i="14"/>
  <c r="K6" i="14"/>
  <c r="K11" i="14"/>
  <c r="K5" i="14"/>
  <c r="K14" i="14"/>
  <c r="K8" i="14"/>
  <c r="K4" i="14"/>
  <c r="W4" i="14" s="1"/>
  <c r="W8" i="14"/>
  <c r="W5" i="14"/>
  <c r="W6" i="14"/>
  <c r="D151" i="23"/>
  <c r="K9" i="14" l="1"/>
  <c r="W9" i="14"/>
  <c r="D153" i="23"/>
  <c r="D155" i="23" s="1"/>
  <c r="J9" i="14"/>
  <c r="I9" i="14" l="1"/>
  <c r="H9" i="14" l="1"/>
  <c r="V4" i="14" l="1"/>
  <c r="V5" i="14"/>
  <c r="V6" i="14"/>
  <c r="V7" i="14"/>
  <c r="V8" i="14"/>
  <c r="V3" i="14"/>
  <c r="V9" i="14" l="1"/>
  <c r="G9" i="14"/>
  <c r="R4" i="14" l="1"/>
  <c r="Q3" i="14" l="1"/>
  <c r="R3" i="14"/>
  <c r="R7" i="14"/>
  <c r="R8" i="14"/>
  <c r="Q6" i="14"/>
  <c r="R5" i="14"/>
  <c r="Q4" i="14"/>
  <c r="R6" i="14"/>
  <c r="Q5" i="14"/>
  <c r="Q8" i="14"/>
  <c r="Q7" i="14"/>
  <c r="E9" i="14"/>
  <c r="F9" i="14"/>
  <c r="R9" i="14" l="1"/>
  <c r="Q9" i="14"/>
  <c r="Q12" i="14" l="1"/>
  <c r="Q11" i="14"/>
  <c r="R14" i="14" l="1"/>
  <c r="Q17" i="14" l="1"/>
  <c r="Q14" i="14"/>
</calcChain>
</file>

<file path=xl/comments1.xml><?xml version="1.0" encoding="utf-8"?>
<comments xmlns="http://schemas.openxmlformats.org/spreadsheetml/2006/main">
  <authors>
    <author>作成者</author>
  </authors>
  <commentList>
    <comment ref="B3" authorId="0" shapeId="0">
      <text>
        <r>
          <rPr>
            <b/>
            <sz val="9"/>
            <color indexed="81"/>
            <rFont val="ＭＳ Ｐゴシック"/>
            <family val="3"/>
            <charset val="128"/>
          </rPr>
          <t>この欄にVLOOKUP関数から引っ張りたい、固定費の項目を入力する。</t>
        </r>
      </text>
    </comment>
  </commentList>
</comments>
</file>

<file path=xl/comments2.xml><?xml version="1.0" encoding="utf-8"?>
<comments xmlns="http://schemas.openxmlformats.org/spreadsheetml/2006/main">
  <authors>
    <author>作成者</author>
  </authors>
  <commentList>
    <comment ref="A193" authorId="0" shapeId="0">
      <text>
        <r>
          <rPr>
            <b/>
            <sz val="9"/>
            <color indexed="81"/>
            <rFont val="ＭＳ Ｐゴシック"/>
            <family val="3"/>
            <charset val="128"/>
          </rPr>
          <t>ここに貼り付け</t>
        </r>
      </text>
    </comment>
  </commentList>
</comments>
</file>

<file path=xl/sharedStrings.xml><?xml version="1.0" encoding="utf-8"?>
<sst xmlns="http://schemas.openxmlformats.org/spreadsheetml/2006/main" count="1295" uniqueCount="227">
  <si>
    <t>家賃</t>
    <rPh sb="0" eb="2">
      <t>ヤチン</t>
    </rPh>
    <phoneticPr fontId="3"/>
  </si>
  <si>
    <t>食料品</t>
  </si>
  <si>
    <t>食費</t>
  </si>
  <si>
    <t>保有金融機関</t>
  </si>
  <si>
    <t>金額（円）</t>
  </si>
  <si>
    <t>内容</t>
  </si>
  <si>
    <t>日付</t>
  </si>
  <si>
    <t>日用品</t>
  </si>
  <si>
    <t>計算</t>
  </si>
  <si>
    <t>大項目</t>
  </si>
  <si>
    <t>中項目</t>
  </si>
  <si>
    <t>メモ</t>
  </si>
  <si>
    <t>電気料</t>
  </si>
  <si>
    <t>水道・光熱費</t>
  </si>
  <si>
    <t>電気代</t>
  </si>
  <si>
    <t>収入</t>
  </si>
  <si>
    <t>住宅</t>
  </si>
  <si>
    <t>その他入金</t>
  </si>
  <si>
    <t>口座振替 ガス料金</t>
  </si>
  <si>
    <t>ガス・灯油代</t>
  </si>
  <si>
    <t>アマゾンプライム</t>
    <phoneticPr fontId="3"/>
  </si>
  <si>
    <t>現金</t>
  </si>
  <si>
    <t>通信費</t>
  </si>
  <si>
    <t>インターネット</t>
  </si>
  <si>
    <t>雑費</t>
    <rPh sb="0" eb="2">
      <t>ザッピ</t>
    </rPh>
    <phoneticPr fontId="3"/>
  </si>
  <si>
    <t>固定費</t>
    <rPh sb="0" eb="3">
      <t>コテイヒ</t>
    </rPh>
    <phoneticPr fontId="3"/>
  </si>
  <si>
    <t>収入</t>
    <rPh sb="0" eb="2">
      <t>シュウニュウ</t>
    </rPh>
    <phoneticPr fontId="3"/>
  </si>
  <si>
    <t>特別経費</t>
    <rPh sb="0" eb="2">
      <t>トクベツ</t>
    </rPh>
    <rPh sb="2" eb="4">
      <t>ケイヒ</t>
    </rPh>
    <phoneticPr fontId="3"/>
  </si>
  <si>
    <t>(a)</t>
    <phoneticPr fontId="3"/>
  </si>
  <si>
    <t>(b)</t>
    <phoneticPr fontId="3"/>
  </si>
  <si>
    <t>(c)</t>
    <phoneticPr fontId="3"/>
  </si>
  <si>
    <t>(d)</t>
    <phoneticPr fontId="3"/>
  </si>
  <si>
    <t>収支</t>
    <rPh sb="0" eb="2">
      <t>シュウシ</t>
    </rPh>
    <phoneticPr fontId="3"/>
  </si>
  <si>
    <t>支出合計</t>
    <rPh sb="0" eb="2">
      <t>シシュツ</t>
    </rPh>
    <rPh sb="2" eb="4">
      <t>ゴウケイ</t>
    </rPh>
    <phoneticPr fontId="3"/>
  </si>
  <si>
    <t>(e)</t>
    <phoneticPr fontId="3"/>
  </si>
  <si>
    <t>(d)-(e)</t>
    <phoneticPr fontId="3"/>
  </si>
  <si>
    <t>利息</t>
  </si>
  <si>
    <t>水道料</t>
  </si>
  <si>
    <t>水道代</t>
  </si>
  <si>
    <t>ガス代</t>
    <rPh sb="2" eb="3">
      <t>ダイ</t>
    </rPh>
    <phoneticPr fontId="3"/>
  </si>
  <si>
    <t>インターネット</t>
    <phoneticPr fontId="3"/>
  </si>
  <si>
    <t>合計</t>
    <rPh sb="0" eb="2">
      <t>ゴウケイ</t>
    </rPh>
    <phoneticPr fontId="3"/>
  </si>
  <si>
    <t>電気代</t>
    <rPh sb="0" eb="2">
      <t>デンキ</t>
    </rPh>
    <rPh sb="2" eb="3">
      <t>ダイ</t>
    </rPh>
    <phoneticPr fontId="3"/>
  </si>
  <si>
    <t>平均</t>
    <rPh sb="0" eb="2">
      <t>ヘイキン</t>
    </rPh>
    <phoneticPr fontId="3"/>
  </si>
  <si>
    <t>口座振替 ガス料金</t>
    <phoneticPr fontId="3"/>
  </si>
  <si>
    <t>雑費</t>
  </si>
  <si>
    <t>Suica</t>
  </si>
  <si>
    <t>固定費</t>
  </si>
  <si>
    <t>特別経費</t>
  </si>
  <si>
    <t>残高</t>
    <rPh sb="0" eb="2">
      <t>ザンダカ</t>
    </rPh>
    <phoneticPr fontId="3"/>
  </si>
  <si>
    <t>残高</t>
    <rPh sb="0" eb="2">
      <t>ザンダカ</t>
    </rPh>
    <phoneticPr fontId="3"/>
  </si>
  <si>
    <t>収支</t>
    <rPh sb="0" eb="2">
      <t>シュウシ</t>
    </rPh>
    <phoneticPr fontId="3"/>
  </si>
  <si>
    <t>先月残高</t>
    <rPh sb="0" eb="2">
      <t>センゲツ</t>
    </rPh>
    <rPh sb="2" eb="4">
      <t>ザンダカ</t>
    </rPh>
    <phoneticPr fontId="3"/>
  </si>
  <si>
    <t>アマゾンプライム</t>
  </si>
  <si>
    <t>上半期</t>
    <rPh sb="0" eb="3">
      <t>カミハンキ</t>
    </rPh>
    <phoneticPr fontId="3"/>
  </si>
  <si>
    <t>趣味・娯楽</t>
  </si>
  <si>
    <t>下半期</t>
    <rPh sb="0" eb="3">
      <t>シモハンキ</t>
    </rPh>
    <phoneticPr fontId="3"/>
  </si>
  <si>
    <t>その他日用品</t>
  </si>
  <si>
    <t>→</t>
  </si>
  <si>
    <t xml:space="preserve">→ </t>
  </si>
  <si>
    <t>衣服・美容</t>
  </si>
  <si>
    <t>(d)</t>
  </si>
  <si>
    <t>(a)</t>
  </si>
  <si>
    <t>(c)</t>
  </si>
  <si>
    <t>(e)</t>
  </si>
  <si>
    <t>(d)-(e)</t>
  </si>
  <si>
    <t>(b)</t>
    <phoneticPr fontId="3"/>
  </si>
  <si>
    <t>(a)</t>
    <phoneticPr fontId="3"/>
  </si>
  <si>
    <t>↓</t>
    <phoneticPr fontId="3"/>
  </si>
  <si>
    <t>合計</t>
    <rPh sb="0" eb="2">
      <t>ゴウケイ</t>
    </rPh>
    <phoneticPr fontId="3"/>
  </si>
  <si>
    <t>本</t>
  </si>
  <si>
    <t>クリーニング</t>
  </si>
  <si>
    <t>右の画像のように、形式を選択して貼り付けを選択する</t>
    <rPh sb="0" eb="1">
      <t>ミギ</t>
    </rPh>
    <rPh sb="2" eb="4">
      <t>ガゾウ</t>
    </rPh>
    <rPh sb="9" eb="11">
      <t>ケイシキ</t>
    </rPh>
    <rPh sb="12" eb="14">
      <t>センタク</t>
    </rPh>
    <rPh sb="16" eb="17">
      <t>ハ</t>
    </rPh>
    <rPh sb="18" eb="19">
      <t>ツ</t>
    </rPh>
    <rPh sb="21" eb="23">
      <t>センタク</t>
    </rPh>
    <phoneticPr fontId="3"/>
  </si>
  <si>
    <t>貼り付けを行うと、その時によって、行の位置が異なるが先頭のデータが正しく貼り付けられない。</t>
    <rPh sb="0" eb="1">
      <t>ハ</t>
    </rPh>
    <rPh sb="2" eb="3">
      <t>ツ</t>
    </rPh>
    <rPh sb="5" eb="6">
      <t>オコナ</t>
    </rPh>
    <rPh sb="11" eb="12">
      <t>トキ</t>
    </rPh>
    <rPh sb="17" eb="18">
      <t>ギョウ</t>
    </rPh>
    <rPh sb="19" eb="21">
      <t>イチ</t>
    </rPh>
    <rPh sb="22" eb="23">
      <t>コト</t>
    </rPh>
    <rPh sb="26" eb="28">
      <t>セントウ</t>
    </rPh>
    <rPh sb="33" eb="34">
      <t>タダ</t>
    </rPh>
    <rPh sb="36" eb="37">
      <t>ハ</t>
    </rPh>
    <rPh sb="38" eb="39">
      <t>ツ</t>
    </rPh>
    <phoneticPr fontId="3"/>
  </si>
  <si>
    <t>マクロの操作対象である194行目以降にデータが入力されるよう、先頭のデータを他のデータと同じような形に修正する。</t>
    <rPh sb="4" eb="6">
      <t>ソウサ</t>
    </rPh>
    <rPh sb="6" eb="8">
      <t>タイショウ</t>
    </rPh>
    <rPh sb="14" eb="16">
      <t>ギョウメ</t>
    </rPh>
    <rPh sb="16" eb="18">
      <t>イコウ</t>
    </rPh>
    <rPh sb="23" eb="25">
      <t>ニュウリョク</t>
    </rPh>
    <rPh sb="31" eb="33">
      <t>セントウ</t>
    </rPh>
    <rPh sb="38" eb="39">
      <t>ホカ</t>
    </rPh>
    <rPh sb="44" eb="45">
      <t>オナ</t>
    </rPh>
    <rPh sb="49" eb="50">
      <t>カタチ</t>
    </rPh>
    <rPh sb="51" eb="53">
      <t>シュウセイ</t>
    </rPh>
    <phoneticPr fontId="3"/>
  </si>
  <si>
    <t>分類基準</t>
  </si>
  <si>
    <t>F列：大項目が「水道・光熱費」の場合"固定費"と判定</t>
  </si>
  <si>
    <t>ガス代</t>
  </si>
  <si>
    <t>G列：中項目が「インターネット」の場合"固定費"と判定</t>
  </si>
  <si>
    <t>家賃</t>
  </si>
  <si>
    <t>F列：大項目が「住宅」の場合"固定費"と判定</t>
  </si>
  <si>
    <t>F列：大項目が「収入」の場合"収入"と判定</t>
  </si>
  <si>
    <t>④同シートにある「転記一括処理」のボタンを押して、「当月テンプレート」シートを作成する</t>
    <rPh sb="1" eb="2">
      <t>ドウ</t>
    </rPh>
    <rPh sb="9" eb="11">
      <t>テンキ</t>
    </rPh>
    <rPh sb="11" eb="13">
      <t>イッカツ</t>
    </rPh>
    <rPh sb="13" eb="15">
      <t>ショリ</t>
    </rPh>
    <rPh sb="21" eb="22">
      <t>オ</t>
    </rPh>
    <rPh sb="26" eb="28">
      <t>トウゲツ</t>
    </rPh>
    <rPh sb="39" eb="41">
      <t>サクセイ</t>
    </rPh>
    <phoneticPr fontId="3"/>
  </si>
  <si>
    <t>⑤当月テンプレートの全範囲選択・コピペ。その月のシートにそのまま貼り付ける。</t>
    <rPh sb="1" eb="3">
      <t>トウゲツ</t>
    </rPh>
    <rPh sb="10" eb="11">
      <t>ゼン</t>
    </rPh>
    <rPh sb="11" eb="13">
      <t>ハンイ</t>
    </rPh>
    <rPh sb="13" eb="15">
      <t>センタク</t>
    </rPh>
    <rPh sb="22" eb="23">
      <t>ツキ</t>
    </rPh>
    <rPh sb="32" eb="33">
      <t>ハ</t>
    </rPh>
    <rPh sb="34" eb="35">
      <t>ツ</t>
    </rPh>
    <phoneticPr fontId="3"/>
  </si>
  <si>
    <t>②家計のタブをクリックして、当月の入出金データをコピーしていく</t>
    <rPh sb="1" eb="3">
      <t>カケイ</t>
    </rPh>
    <rPh sb="14" eb="16">
      <t>トウゲツ</t>
    </rPh>
    <rPh sb="17" eb="20">
      <t>ニュウシュッキン</t>
    </rPh>
    <phoneticPr fontId="3"/>
  </si>
  <si>
    <t>③コピーしたデータを、シート「テスト」にA193セルに貼り付ける</t>
    <rPh sb="27" eb="28">
      <t>ハ</t>
    </rPh>
    <rPh sb="29" eb="30">
      <t>ツ</t>
    </rPh>
    <phoneticPr fontId="3"/>
  </si>
  <si>
    <t>194行目以降にデータがきちんと入力されているように、データの項目を他の形式に合わせる形でそれ以降の行に貼り付けする。</t>
    <rPh sb="3" eb="5">
      <t>ギョウメ</t>
    </rPh>
    <rPh sb="5" eb="7">
      <t>イコウ</t>
    </rPh>
    <rPh sb="16" eb="18">
      <t>ニュウリョク</t>
    </rPh>
    <rPh sb="31" eb="33">
      <t>コウモク</t>
    </rPh>
    <rPh sb="34" eb="35">
      <t>ホカ</t>
    </rPh>
    <rPh sb="36" eb="38">
      <t>ケイシキ</t>
    </rPh>
    <rPh sb="39" eb="40">
      <t>ア</t>
    </rPh>
    <rPh sb="43" eb="44">
      <t>カタチ</t>
    </rPh>
    <rPh sb="47" eb="49">
      <t>イコウ</t>
    </rPh>
    <rPh sb="50" eb="51">
      <t>ギョウ</t>
    </rPh>
    <rPh sb="52" eb="53">
      <t>ハ</t>
    </rPh>
    <rPh sb="54" eb="55">
      <t>ツ</t>
    </rPh>
    <phoneticPr fontId="3"/>
  </si>
  <si>
    <t>貼り付け完了後、192行目・193行目にあるデータも削除する。</t>
    <rPh sb="0" eb="1">
      <t>ハ</t>
    </rPh>
    <rPh sb="2" eb="3">
      <t>ツ</t>
    </rPh>
    <rPh sb="4" eb="6">
      <t>カンリョウ</t>
    </rPh>
    <rPh sb="6" eb="7">
      <t>ゴ</t>
    </rPh>
    <rPh sb="26" eb="28">
      <t>サクジョ</t>
    </rPh>
    <phoneticPr fontId="3"/>
  </si>
  <si>
    <t>A列と1行に挟まれる形で見える三角形の位置をクリックする。</t>
    <rPh sb="1" eb="2">
      <t>レツ</t>
    </rPh>
    <rPh sb="4" eb="5">
      <t>ギョウ</t>
    </rPh>
    <rPh sb="6" eb="7">
      <t>ハサ</t>
    </rPh>
    <rPh sb="10" eb="11">
      <t>カタチ</t>
    </rPh>
    <rPh sb="12" eb="13">
      <t>ミ</t>
    </rPh>
    <rPh sb="15" eb="18">
      <t>サンカクケイ</t>
    </rPh>
    <rPh sb="19" eb="21">
      <t>イチ</t>
    </rPh>
    <phoneticPr fontId="3"/>
  </si>
  <si>
    <t>シート全体が選択され、全セルが選択対象になっていること(セルが灰色になっている)を確認したら、右クリックでコピーを選択。</t>
    <rPh sb="3" eb="5">
      <t>ゼンタイ</t>
    </rPh>
    <rPh sb="6" eb="8">
      <t>センタク</t>
    </rPh>
    <rPh sb="11" eb="12">
      <t>ゼン</t>
    </rPh>
    <rPh sb="15" eb="17">
      <t>センタク</t>
    </rPh>
    <rPh sb="17" eb="19">
      <t>タイショウ</t>
    </rPh>
    <rPh sb="31" eb="33">
      <t>ハイイロ</t>
    </rPh>
    <rPh sb="41" eb="43">
      <t>カクニン</t>
    </rPh>
    <rPh sb="47" eb="48">
      <t>ミギ</t>
    </rPh>
    <rPh sb="57" eb="59">
      <t>センタク</t>
    </rPh>
    <phoneticPr fontId="3"/>
  </si>
  <si>
    <t>⑥当該月のシートを選択したら、同じようにA列と1行に挟まれる形で見える三角形の位置をクリックする。</t>
    <rPh sb="1" eb="3">
      <t>トウガイ</t>
    </rPh>
    <rPh sb="3" eb="4">
      <t>ヅキ</t>
    </rPh>
    <rPh sb="9" eb="11">
      <t>センタク</t>
    </rPh>
    <rPh sb="15" eb="16">
      <t>オナ</t>
    </rPh>
    <phoneticPr fontId="3"/>
  </si>
  <si>
    <t>　 その状態のまま、右クリックで今度は貼り付けボタンを押す。</t>
    <rPh sb="4" eb="6">
      <t>ジョウタイ</t>
    </rPh>
    <rPh sb="10" eb="11">
      <t>ミギ</t>
    </rPh>
    <rPh sb="16" eb="18">
      <t>コンド</t>
    </rPh>
    <rPh sb="19" eb="20">
      <t>ハ</t>
    </rPh>
    <rPh sb="21" eb="22">
      <t>ツ</t>
    </rPh>
    <rPh sb="27" eb="28">
      <t>オ</t>
    </rPh>
    <phoneticPr fontId="3"/>
  </si>
  <si>
    <t>　 貼り付けのオプションで値貼り付け・数式貼り付けなど様々なオプションが表示されているが、一番左の全部貼り付けを選択する。</t>
    <rPh sb="2" eb="3">
      <t>ハ</t>
    </rPh>
    <rPh sb="4" eb="5">
      <t>ツ</t>
    </rPh>
    <rPh sb="13" eb="14">
      <t>アタイ</t>
    </rPh>
    <rPh sb="14" eb="15">
      <t>ハ</t>
    </rPh>
    <rPh sb="16" eb="17">
      <t>ツ</t>
    </rPh>
    <rPh sb="19" eb="21">
      <t>スウシキ</t>
    </rPh>
    <rPh sb="21" eb="22">
      <t>ハ</t>
    </rPh>
    <rPh sb="23" eb="24">
      <t>ツ</t>
    </rPh>
    <rPh sb="27" eb="29">
      <t>サマザマ</t>
    </rPh>
    <rPh sb="36" eb="38">
      <t>ヒョウジ</t>
    </rPh>
    <rPh sb="45" eb="47">
      <t>イチバン</t>
    </rPh>
    <rPh sb="47" eb="48">
      <t>ヒダリ</t>
    </rPh>
    <rPh sb="49" eb="50">
      <t>ゼン</t>
    </rPh>
    <rPh sb="50" eb="51">
      <t>ブ</t>
    </rPh>
    <rPh sb="51" eb="52">
      <t>ハ</t>
    </rPh>
    <rPh sb="53" eb="54">
      <t>ツ</t>
    </rPh>
    <rPh sb="56" eb="58">
      <t>センタク</t>
    </rPh>
    <phoneticPr fontId="3"/>
  </si>
  <si>
    <t>moneyforwardの画面の、当月収支などがエクセルシート上の、収支：(d)-(e)と一致するか確かめる</t>
    <rPh sb="13" eb="15">
      <t>ガメン</t>
    </rPh>
    <rPh sb="17" eb="19">
      <t>トウゲツ</t>
    </rPh>
    <rPh sb="19" eb="21">
      <t>シュウシ</t>
    </rPh>
    <rPh sb="31" eb="32">
      <t>ウエ</t>
    </rPh>
    <rPh sb="34" eb="36">
      <t>シュウシ</t>
    </rPh>
    <rPh sb="45" eb="47">
      <t>イッチ</t>
    </rPh>
    <rPh sb="50" eb="51">
      <t>タシ</t>
    </rPh>
    <phoneticPr fontId="3"/>
  </si>
  <si>
    <t>データの齟齬やエラーが発生していないかの確認を行う。</t>
    <rPh sb="4" eb="6">
      <t>ソゴ</t>
    </rPh>
    <rPh sb="11" eb="13">
      <t>ハッセイ</t>
    </rPh>
    <rPh sb="20" eb="22">
      <t>カクニン</t>
    </rPh>
    <rPh sb="23" eb="24">
      <t>オコナ</t>
    </rPh>
    <phoneticPr fontId="3"/>
  </si>
  <si>
    <t>⑦再度、入力データに不備がないか、確認を行う。また「月次まとめ」シートに各項目(固定費、残高など)がきちんと転記されているかを確認する。</t>
    <rPh sb="1" eb="3">
      <t>サイド</t>
    </rPh>
    <rPh sb="4" eb="6">
      <t>ニュウリョク</t>
    </rPh>
    <rPh sb="10" eb="12">
      <t>フビ</t>
    </rPh>
    <rPh sb="17" eb="19">
      <t>カクニン</t>
    </rPh>
    <rPh sb="20" eb="21">
      <t>オコナ</t>
    </rPh>
    <rPh sb="36" eb="39">
      <t>カクコウモク</t>
    </rPh>
    <rPh sb="40" eb="43">
      <t>コテイヒ</t>
    </rPh>
    <rPh sb="44" eb="46">
      <t>ザンダカ</t>
    </rPh>
    <rPh sb="54" eb="56">
      <t>テンキ</t>
    </rPh>
    <rPh sb="63" eb="65">
      <t>カクニン</t>
    </rPh>
    <phoneticPr fontId="3"/>
  </si>
  <si>
    <t>⑧「テスト」シートに戻り、「転記一括処理」ボタンの右側にある、「転記後(データクレンジング)一括処理」ボタンをクリックする。</t>
    <rPh sb="10" eb="11">
      <t>モド</t>
    </rPh>
    <rPh sb="25" eb="27">
      <t>ミギガワ</t>
    </rPh>
    <rPh sb="32" eb="34">
      <t>テンキ</t>
    </rPh>
    <rPh sb="34" eb="35">
      <t>ゴ</t>
    </rPh>
    <rPh sb="46" eb="48">
      <t>イッカツ</t>
    </rPh>
    <rPh sb="48" eb="50">
      <t>ショリ</t>
    </rPh>
    <phoneticPr fontId="3"/>
  </si>
  <si>
    <t>⑨ブックを保存して終了</t>
    <rPh sb="5" eb="7">
      <t>ホゾン</t>
    </rPh>
    <rPh sb="9" eb="11">
      <t>シュウリョウ</t>
    </rPh>
    <phoneticPr fontId="3"/>
  </si>
  <si>
    <t xml:space="preserve">    今月残高・先月残高を手入力する(今月残高はmoneyforwardHPのホーム＞総資産(左上にある)からコピーしてトレースできる)</t>
    <rPh sb="4" eb="6">
      <t>コンゲツ</t>
    </rPh>
    <rPh sb="9" eb="11">
      <t>センゲツ</t>
    </rPh>
    <rPh sb="11" eb="13">
      <t>ザンダカ</t>
    </rPh>
    <rPh sb="20" eb="22">
      <t>コンゲツ</t>
    </rPh>
    <rPh sb="22" eb="23">
      <t>ザン</t>
    </rPh>
    <rPh sb="23" eb="24">
      <t>タカ</t>
    </rPh>
    <rPh sb="44" eb="47">
      <t>ソウシサン</t>
    </rPh>
    <rPh sb="48" eb="50">
      <t>ヒダリウエ</t>
    </rPh>
    <phoneticPr fontId="3"/>
  </si>
  <si>
    <t>雑費から特別経費(イレギュラーな支出)に移す項目があれば移動させる</t>
    <rPh sb="0" eb="2">
      <t>ザッピ</t>
    </rPh>
    <rPh sb="4" eb="6">
      <t>トクベツ</t>
    </rPh>
    <rPh sb="6" eb="8">
      <t>ケイヒ</t>
    </rPh>
    <rPh sb="16" eb="18">
      <t>シシュツ</t>
    </rPh>
    <rPh sb="20" eb="21">
      <t>ウツ</t>
    </rPh>
    <rPh sb="22" eb="24">
      <t>コウモク</t>
    </rPh>
    <rPh sb="28" eb="30">
      <t>イドウ</t>
    </rPh>
    <phoneticPr fontId="3"/>
  </si>
  <si>
    <t>末尾から初日まで全部コピーする。範囲は日付からメモまで。</t>
    <rPh sb="0" eb="2">
      <t>マツビ</t>
    </rPh>
    <rPh sb="4" eb="6">
      <t>ショニチ</t>
    </rPh>
    <rPh sb="8" eb="10">
      <t>ゼンブ</t>
    </rPh>
    <rPh sb="16" eb="18">
      <t>ハンイ</t>
    </rPh>
    <rPh sb="19" eb="21">
      <t>ヒヅケ</t>
    </rPh>
    <phoneticPr fontId="3"/>
  </si>
  <si>
    <t>※電子連携が不可能な「現金」・「資産」を実際の月末残高と調整する場合の処理</t>
    <rPh sb="1" eb="3">
      <t>デンシ</t>
    </rPh>
    <rPh sb="3" eb="5">
      <t>レンケイ</t>
    </rPh>
    <rPh sb="6" eb="9">
      <t>フカノウ</t>
    </rPh>
    <rPh sb="11" eb="13">
      <t>ゲンキン</t>
    </rPh>
    <rPh sb="16" eb="18">
      <t>シサン</t>
    </rPh>
    <rPh sb="20" eb="22">
      <t>ジッサイ</t>
    </rPh>
    <rPh sb="23" eb="25">
      <t>ゲツマツ</t>
    </rPh>
    <rPh sb="25" eb="27">
      <t>ザンダカ</t>
    </rPh>
    <rPh sb="28" eb="30">
      <t>チョウセイ</t>
    </rPh>
    <rPh sb="32" eb="34">
      <t>バアイ</t>
    </rPh>
    <rPh sb="35" eb="37">
      <t>ショリ</t>
    </rPh>
    <phoneticPr fontId="3"/>
  </si>
  <si>
    <t xml:space="preserve">   (必要がない場合はこの処理はスキップして②に移る)。</t>
    <rPh sb="4" eb="6">
      <t>ヒツヨウ</t>
    </rPh>
    <rPh sb="9" eb="11">
      <t>バアイ</t>
    </rPh>
    <rPh sb="14" eb="16">
      <t>ショリ</t>
    </rPh>
    <rPh sb="25" eb="26">
      <t>ウツ</t>
    </rPh>
    <phoneticPr fontId="3"/>
  </si>
  <si>
    <t>(1)トップにあるタブのうち、右から二番目にある「口座」をクリック。編集ではなく、直接青字の各項目をクリックする。</t>
    <rPh sb="15" eb="16">
      <t>ミギ</t>
    </rPh>
    <rPh sb="18" eb="21">
      <t>ニバンメ</t>
    </rPh>
    <rPh sb="25" eb="27">
      <t>コウザ</t>
    </rPh>
    <rPh sb="34" eb="36">
      <t>ヘンシュウ</t>
    </rPh>
    <rPh sb="41" eb="43">
      <t>チョクセツ</t>
    </rPh>
    <rPh sb="43" eb="45">
      <t>アオジ</t>
    </rPh>
    <rPh sb="46" eb="49">
      <t>カクコウモク</t>
    </rPh>
    <phoneticPr fontId="3"/>
  </si>
  <si>
    <t>(2)画面が遷移し、残高：金額の横にある、緑色の残高修正のボタンをクリックする。</t>
    <rPh sb="3" eb="5">
      <t>ガメン</t>
    </rPh>
    <rPh sb="6" eb="8">
      <t>センイ</t>
    </rPh>
    <rPh sb="10" eb="12">
      <t>ザンダカ</t>
    </rPh>
    <rPh sb="13" eb="15">
      <t>キンガク</t>
    </rPh>
    <rPh sb="16" eb="17">
      <t>ヨコ</t>
    </rPh>
    <rPh sb="21" eb="23">
      <t>ミドリイロ</t>
    </rPh>
    <rPh sb="24" eb="26">
      <t>ザンダカ</t>
    </rPh>
    <rPh sb="26" eb="28">
      <t>シュウセイ</t>
    </rPh>
    <phoneticPr fontId="3"/>
  </si>
  <si>
    <t>(3)用途が特定できない金額の齟齬については、修正後の残高(この場合は実際の現金残高)を入力し、過不足を実際の残高と合致するように不明金として調整する。</t>
    <rPh sb="3" eb="5">
      <t>ヨウト</t>
    </rPh>
    <rPh sb="6" eb="8">
      <t>トクテイ</t>
    </rPh>
    <rPh sb="12" eb="14">
      <t>キンガク</t>
    </rPh>
    <rPh sb="15" eb="17">
      <t>ソゴ</t>
    </rPh>
    <rPh sb="23" eb="25">
      <t>シュウセイ</t>
    </rPh>
    <rPh sb="25" eb="26">
      <t>ゴ</t>
    </rPh>
    <rPh sb="27" eb="29">
      <t>ザンダカ</t>
    </rPh>
    <rPh sb="32" eb="34">
      <t>バアイ</t>
    </rPh>
    <rPh sb="35" eb="37">
      <t>ジッサイ</t>
    </rPh>
    <rPh sb="38" eb="40">
      <t>ゲンキン</t>
    </rPh>
    <rPh sb="40" eb="42">
      <t>ザンダカ</t>
    </rPh>
    <rPh sb="44" eb="46">
      <t>ニュウリョク</t>
    </rPh>
    <rPh sb="48" eb="51">
      <t>カブソク</t>
    </rPh>
    <rPh sb="52" eb="54">
      <t>ジッサイ</t>
    </rPh>
    <rPh sb="55" eb="57">
      <t>ザンダカ</t>
    </rPh>
    <rPh sb="58" eb="60">
      <t>ガッチ</t>
    </rPh>
    <rPh sb="65" eb="68">
      <t>フメイキン</t>
    </rPh>
    <rPh sb="71" eb="73">
      <t>チョウセイ</t>
    </rPh>
    <phoneticPr fontId="3"/>
  </si>
  <si>
    <t>「月次まとめ」シートは各月シートとリンクし（VLOOKUP関数で抽出し）、各固定費・収入などの推移を記録する。</t>
    <rPh sb="11" eb="13">
      <t>カクツキ</t>
    </rPh>
    <rPh sb="29" eb="31">
      <t>カンスウ</t>
    </rPh>
    <rPh sb="32" eb="34">
      <t>チュウシュツ</t>
    </rPh>
    <rPh sb="37" eb="38">
      <t>カク</t>
    </rPh>
    <rPh sb="38" eb="41">
      <t>コテイヒ</t>
    </rPh>
    <rPh sb="42" eb="44">
      <t>シュウニュウ</t>
    </rPh>
    <rPh sb="47" eb="49">
      <t>スイイ</t>
    </rPh>
    <rPh sb="50" eb="52">
      <t>キロク</t>
    </rPh>
    <phoneticPr fontId="3"/>
  </si>
  <si>
    <t>最初に固定費(毎月恒常的に支払が発生する経費)の設定をここで行う。</t>
    <rPh sb="0" eb="2">
      <t>サイショ</t>
    </rPh>
    <rPh sb="3" eb="6">
      <t>コテイヒ</t>
    </rPh>
    <rPh sb="7" eb="9">
      <t>マイツキ</t>
    </rPh>
    <rPh sb="9" eb="12">
      <t>コウジョウテキ</t>
    </rPh>
    <rPh sb="13" eb="15">
      <t>シハラ</t>
    </rPh>
    <rPh sb="16" eb="18">
      <t>ハッセイ</t>
    </rPh>
    <rPh sb="20" eb="22">
      <t>ケイヒ</t>
    </rPh>
    <rPh sb="24" eb="26">
      <t>セッテイ</t>
    </rPh>
    <rPh sb="30" eb="31">
      <t>オコナ</t>
    </rPh>
    <phoneticPr fontId="3"/>
  </si>
  <si>
    <t>「月次まとめ」シートのB列に記載された文字列をVLOOKUP関数で参照し、各月シートから合致する文字列の右にある金額を抽出している。</t>
    <rPh sb="12" eb="13">
      <t>レツ</t>
    </rPh>
    <rPh sb="14" eb="16">
      <t>キサイ</t>
    </rPh>
    <rPh sb="19" eb="22">
      <t>モジレツ</t>
    </rPh>
    <rPh sb="33" eb="35">
      <t>サンショウ</t>
    </rPh>
    <rPh sb="37" eb="39">
      <t>カクツキ</t>
    </rPh>
    <rPh sb="44" eb="46">
      <t>ガッチ</t>
    </rPh>
    <rPh sb="48" eb="51">
      <t>モジレツ</t>
    </rPh>
    <rPh sb="52" eb="53">
      <t>ミギ</t>
    </rPh>
    <rPh sb="56" eb="58">
      <t>キンガク</t>
    </rPh>
    <rPh sb="59" eb="61">
      <t>チュウシュツ</t>
    </rPh>
    <phoneticPr fontId="3"/>
  </si>
  <si>
    <t>①moneyforwardにログイン</t>
    <phoneticPr fontId="3"/>
  </si>
  <si>
    <t>「月次まとめ」シートの仕様</t>
    <phoneticPr fontId="3"/>
  </si>
  <si>
    <t>「テスト」シートの仕様</t>
    <rPh sb="9" eb="11">
      <t>シヨウ</t>
    </rPh>
    <phoneticPr fontId="3"/>
  </si>
  <si>
    <t>支出の分類について</t>
    <rPh sb="0" eb="2">
      <t>シシュツ</t>
    </rPh>
    <rPh sb="3" eb="5">
      <t>ブンルイ</t>
    </rPh>
    <phoneticPr fontId="3"/>
  </si>
  <si>
    <t>雑費：食費など毎月の中で変動がある雑多な支出</t>
    <rPh sb="0" eb="2">
      <t>ザッピ</t>
    </rPh>
    <phoneticPr fontId="3"/>
  </si>
  <si>
    <t>固定費：水光熱費など毎月固定でかかる支出</t>
    <rPh sb="0" eb="3">
      <t>コテイヒ</t>
    </rPh>
    <phoneticPr fontId="3"/>
  </si>
  <si>
    <t>特別経費：その月に発生したイレギュラーな支出</t>
    <rPh sb="0" eb="2">
      <t>トクベツ</t>
    </rPh>
    <rPh sb="2" eb="4">
      <t>ケイヒ</t>
    </rPh>
    <phoneticPr fontId="3"/>
  </si>
  <si>
    <t>(雑費の中から、特別経費に分類したい項目を各月の特別経費欄に転記する)。</t>
    <rPh sb="1" eb="3">
      <t>ザッピ</t>
    </rPh>
    <rPh sb="4" eb="5">
      <t>ナカ</t>
    </rPh>
    <rPh sb="8" eb="10">
      <t>トクベツ</t>
    </rPh>
    <rPh sb="10" eb="12">
      <t>ケイヒ</t>
    </rPh>
    <rPh sb="13" eb="15">
      <t>ブンルイ</t>
    </rPh>
    <rPh sb="18" eb="20">
      <t>コウモク</t>
    </rPh>
    <rPh sb="21" eb="23">
      <t>カクツキ</t>
    </rPh>
    <rPh sb="24" eb="26">
      <t>トクベツ</t>
    </rPh>
    <rPh sb="26" eb="28">
      <t>ケイヒ</t>
    </rPh>
    <rPh sb="28" eb="29">
      <t>ラン</t>
    </rPh>
    <rPh sb="30" eb="32">
      <t>テンキ</t>
    </rPh>
    <phoneticPr fontId="3"/>
  </si>
  <si>
    <t>上記のような基準で支出を三種類に分類している。雑費と特別経費の区分けについては、自動処理を適応せず、手入力で最終的に分類し直す</t>
    <rPh sb="0" eb="2">
      <t>ジョウキ</t>
    </rPh>
    <rPh sb="6" eb="8">
      <t>キジュン</t>
    </rPh>
    <rPh sb="9" eb="11">
      <t>シシュツ</t>
    </rPh>
    <rPh sb="12" eb="15">
      <t>サンシュルイ</t>
    </rPh>
    <rPh sb="16" eb="18">
      <t>ブンルイ</t>
    </rPh>
    <rPh sb="23" eb="25">
      <t>ザッピ</t>
    </rPh>
    <rPh sb="26" eb="28">
      <t>トクベツ</t>
    </rPh>
    <rPh sb="28" eb="30">
      <t>ケイヒ</t>
    </rPh>
    <rPh sb="31" eb="33">
      <t>クワ</t>
    </rPh>
    <rPh sb="40" eb="42">
      <t>ジドウ</t>
    </rPh>
    <rPh sb="42" eb="44">
      <t>ショリ</t>
    </rPh>
    <rPh sb="45" eb="47">
      <t>テキオウ</t>
    </rPh>
    <rPh sb="50" eb="51">
      <t>テ</t>
    </rPh>
    <rPh sb="51" eb="53">
      <t>ニュウリョク</t>
    </rPh>
    <rPh sb="54" eb="57">
      <t>サイシュウテキ</t>
    </rPh>
    <rPh sb="58" eb="60">
      <t>ブンルイ</t>
    </rPh>
    <rPh sb="61" eb="62">
      <t>ナオ</t>
    </rPh>
    <phoneticPr fontId="3"/>
  </si>
  <si>
    <t>「各月雛形」シートに転記するデータはI列の「分類」により区分され、それぞれ違う行毎に集計される。</t>
    <rPh sb="1" eb="3">
      <t>カクツキ</t>
    </rPh>
    <rPh sb="3" eb="5">
      <t>ヒナガタ</t>
    </rPh>
    <rPh sb="10" eb="12">
      <t>テンキ</t>
    </rPh>
    <rPh sb="19" eb="20">
      <t>レツ</t>
    </rPh>
    <rPh sb="22" eb="24">
      <t>ブンルイ</t>
    </rPh>
    <rPh sb="28" eb="30">
      <t>クブン</t>
    </rPh>
    <rPh sb="37" eb="38">
      <t>チガ</t>
    </rPh>
    <rPh sb="39" eb="40">
      <t>ギョウ</t>
    </rPh>
    <rPh sb="40" eb="41">
      <t>ゴト</t>
    </rPh>
    <rPh sb="42" eb="44">
      <t>シュウケイ</t>
    </rPh>
    <phoneticPr fontId="3"/>
  </si>
  <si>
    <t>下記の電気料の場合、F列：大項目が「水道・光熱費」の場合"固定費"と判定される。</t>
    <rPh sb="0" eb="2">
      <t>カキ</t>
    </rPh>
    <rPh sb="3" eb="5">
      <t>デンキ</t>
    </rPh>
    <rPh sb="5" eb="6">
      <t>リョウ</t>
    </rPh>
    <rPh sb="7" eb="9">
      <t>バアイ</t>
    </rPh>
    <phoneticPr fontId="3"/>
  </si>
  <si>
    <t>すること①：B列に"電気料"など、moneyforwardで「内容」として表示されている項目を、この欄に、完全一致するように入力する。</t>
    <rPh sb="7" eb="8">
      <t>レツ</t>
    </rPh>
    <rPh sb="10" eb="12">
      <t>デンキ</t>
    </rPh>
    <rPh sb="12" eb="13">
      <t>リョウ</t>
    </rPh>
    <rPh sb="31" eb="33">
      <t>ナイヨウ</t>
    </rPh>
    <rPh sb="37" eb="39">
      <t>ヒョウジ</t>
    </rPh>
    <rPh sb="44" eb="46">
      <t>コウモク</t>
    </rPh>
    <rPh sb="50" eb="51">
      <t>ラン</t>
    </rPh>
    <rPh sb="53" eb="55">
      <t>カンゼン</t>
    </rPh>
    <rPh sb="55" eb="57">
      <t>イッチ</t>
    </rPh>
    <rPh sb="62" eb="64">
      <t>ニュウリョク</t>
    </rPh>
    <phoneticPr fontId="3"/>
  </si>
  <si>
    <t>すること②：各固定費をどのような方法で、固定費と判定するか、そのルールを考える。</t>
    <rPh sb="6" eb="7">
      <t>カク</t>
    </rPh>
    <rPh sb="7" eb="10">
      <t>コテイヒ</t>
    </rPh>
    <rPh sb="16" eb="18">
      <t>ホウホウ</t>
    </rPh>
    <rPh sb="20" eb="23">
      <t>コテイヒ</t>
    </rPh>
    <rPh sb="24" eb="26">
      <t>ハンテイ</t>
    </rPh>
    <rPh sb="36" eb="37">
      <t>カンガ</t>
    </rPh>
    <phoneticPr fontId="3"/>
  </si>
  <si>
    <t>※なお収入についてはF列：大項目が「収入」の場合"収入"と判定している。</t>
    <rPh sb="3" eb="5">
      <t>シュウニュウ</t>
    </rPh>
    <phoneticPr fontId="3"/>
  </si>
  <si>
    <t>すること③：ルールが決まったら、F列に入力されている数式を自分の例月支出に合うように変更をする。</t>
    <rPh sb="10" eb="11">
      <t>キ</t>
    </rPh>
    <rPh sb="17" eb="18">
      <t>レツ</t>
    </rPh>
    <rPh sb="19" eb="21">
      <t>ニュウリョク</t>
    </rPh>
    <rPh sb="26" eb="28">
      <t>スウシキ</t>
    </rPh>
    <rPh sb="29" eb="31">
      <t>ジブン</t>
    </rPh>
    <rPh sb="32" eb="34">
      <t>レイゲツ</t>
    </rPh>
    <rPh sb="34" eb="36">
      <t>シシュツ</t>
    </rPh>
    <rPh sb="37" eb="38">
      <t>ア</t>
    </rPh>
    <rPh sb="42" eb="44">
      <t>ヘンコウ</t>
    </rPh>
    <phoneticPr fontId="3"/>
  </si>
  <si>
    <t>この数式を変更し、「テスト」シートのI4～I185までオートフィルで数式を変更し直す。</t>
    <rPh sb="2" eb="3">
      <t>カズ</t>
    </rPh>
    <rPh sb="3" eb="4">
      <t>シキ</t>
    </rPh>
    <rPh sb="5" eb="7">
      <t>ヘンコウ</t>
    </rPh>
    <rPh sb="34" eb="36">
      <t>スウシキ</t>
    </rPh>
    <rPh sb="37" eb="39">
      <t>ヘンコウ</t>
    </rPh>
    <rPh sb="40" eb="41">
      <t>ナオ</t>
    </rPh>
    <phoneticPr fontId="3"/>
  </si>
  <si>
    <t>マクロの仕様について</t>
    <rPh sb="4" eb="6">
      <t>シヨウ</t>
    </rPh>
    <phoneticPr fontId="3"/>
  </si>
  <si>
    <t xml:space="preserve">    If _
    Cells(i, "C").Value Like "デビット*" And _
    Cells(i, "D").Value = -500 Then
     Cells(i, "C").Value = "アマゾンプライム"</t>
    <phoneticPr fontId="3"/>
  </si>
  <si>
    <t>なお、デフォルトでは下記のように判定し、分類している。</t>
    <rPh sb="10" eb="12">
      <t>カキ</t>
    </rPh>
    <rPh sb="16" eb="18">
      <t>ハンテイ</t>
    </rPh>
    <rPh sb="20" eb="22">
      <t>ブンルイ</t>
    </rPh>
    <phoneticPr fontId="3"/>
  </si>
  <si>
    <t>③項目の書き換えマクロでは、条件に合致した場合、C列：内容を判定用の名前に変更するよう、プログラムを組んでいる。</t>
    <rPh sb="14" eb="16">
      <t>ジョウケン</t>
    </rPh>
    <rPh sb="17" eb="19">
      <t>ガッチ</t>
    </rPh>
    <rPh sb="21" eb="23">
      <t>バアイ</t>
    </rPh>
    <rPh sb="25" eb="26">
      <t>レツ</t>
    </rPh>
    <rPh sb="27" eb="29">
      <t>ナイヨウ</t>
    </rPh>
    <rPh sb="30" eb="33">
      <t>ハンテイヨウ</t>
    </rPh>
    <rPh sb="34" eb="36">
      <t>ナマエ</t>
    </rPh>
    <rPh sb="37" eb="39">
      <t>ヘンコウ</t>
    </rPh>
    <rPh sb="50" eb="51">
      <t>ク</t>
    </rPh>
    <phoneticPr fontId="3"/>
  </si>
  <si>
    <t>設定がされている。moneyforwardでは電子マネーやクレジット払いなどの場合は内容を修正することができない仕様のため、</t>
    <rPh sb="0" eb="2">
      <t>セッテイ</t>
    </rPh>
    <rPh sb="23" eb="25">
      <t>デンシ</t>
    </rPh>
    <rPh sb="34" eb="35">
      <t>バラ</t>
    </rPh>
    <rPh sb="39" eb="41">
      <t>バアイ</t>
    </rPh>
    <rPh sb="42" eb="44">
      <t>ナイヨウ</t>
    </rPh>
    <rPh sb="45" eb="47">
      <t>シュウセイ</t>
    </rPh>
    <rPh sb="56" eb="58">
      <t>シヨウ</t>
    </rPh>
    <phoneticPr fontId="3"/>
  </si>
  <si>
    <t>メモ欄(エクセルの場合H列)などに特定の文字列を記載するなど、個人的なルールを設定して、エクセル上で「内容」を変更できるように当該マクロを設定した。</t>
    <rPh sb="2" eb="3">
      <t>ラン</t>
    </rPh>
    <rPh sb="9" eb="11">
      <t>バアイ</t>
    </rPh>
    <rPh sb="12" eb="13">
      <t>レツ</t>
    </rPh>
    <rPh sb="17" eb="19">
      <t>トクテイ</t>
    </rPh>
    <rPh sb="20" eb="23">
      <t>モジレツ</t>
    </rPh>
    <rPh sb="24" eb="26">
      <t>キサイ</t>
    </rPh>
    <rPh sb="31" eb="34">
      <t>コジンテキ</t>
    </rPh>
    <rPh sb="39" eb="41">
      <t>セッテイ</t>
    </rPh>
    <rPh sb="48" eb="49">
      <t>ジョウ</t>
    </rPh>
    <rPh sb="51" eb="53">
      <t>ナイヨウ</t>
    </rPh>
    <rPh sb="55" eb="57">
      <t>ヘンコウ</t>
    </rPh>
    <rPh sb="63" eb="65">
      <t>トウガイ</t>
    </rPh>
    <rPh sb="69" eb="71">
      <t>セッテイ</t>
    </rPh>
    <phoneticPr fontId="3"/>
  </si>
  <si>
    <t>すること④：その他の項目で判定ができない固定費がある場合は、③項目の書き換えマクロで、判定が正常に行われるように設定をし直す。</t>
    <rPh sb="8" eb="9">
      <t>タ</t>
    </rPh>
    <rPh sb="10" eb="12">
      <t>コウモク</t>
    </rPh>
    <rPh sb="13" eb="15">
      <t>ハンテイ</t>
    </rPh>
    <rPh sb="20" eb="23">
      <t>コテイヒ</t>
    </rPh>
    <rPh sb="26" eb="28">
      <t>バアイ</t>
    </rPh>
    <rPh sb="43" eb="45">
      <t>ハンテイ</t>
    </rPh>
    <rPh sb="46" eb="48">
      <t>セイジョウ</t>
    </rPh>
    <rPh sb="49" eb="50">
      <t>オコナ</t>
    </rPh>
    <rPh sb="56" eb="58">
      <t>セッテイ</t>
    </rPh>
    <rPh sb="60" eb="61">
      <t>ナオ</t>
    </rPh>
    <phoneticPr fontId="3"/>
  </si>
  <si>
    <t>年度が替わった場合の処理について</t>
    <rPh sb="0" eb="2">
      <t>ネンド</t>
    </rPh>
    <rPh sb="3" eb="4">
      <t>カ</t>
    </rPh>
    <rPh sb="7" eb="9">
      <t>バアイ</t>
    </rPh>
    <rPh sb="10" eb="12">
      <t>ショリ</t>
    </rPh>
    <phoneticPr fontId="3"/>
  </si>
  <si>
    <t>「all_sheet_name」シートとそれに関連するマクロを使って、シート名を一括で置換して下さい。</t>
    <rPh sb="23" eb="25">
      <t>カンレン</t>
    </rPh>
    <rPh sb="31" eb="32">
      <t>ツカ</t>
    </rPh>
    <rPh sb="38" eb="39">
      <t>メイ</t>
    </rPh>
    <rPh sb="40" eb="42">
      <t>イッカツ</t>
    </rPh>
    <rPh sb="43" eb="45">
      <t>チカン</t>
    </rPh>
    <rPh sb="47" eb="48">
      <t>クダ</t>
    </rPh>
    <phoneticPr fontId="3"/>
  </si>
  <si>
    <t>https://excelkamiwaza.com/sheet_name_change.html</t>
    <phoneticPr fontId="3"/>
  </si>
  <si>
    <t>エクセル シート名の一括変更や置換はVBAマクロじゃなきゃ無理なの？</t>
    <phoneticPr fontId="3"/>
  </si>
  <si>
    <t>方法については上記のソースコードをそのまま利用させて頂きました。</t>
    <rPh sb="0" eb="2">
      <t>ホウホウ</t>
    </rPh>
    <rPh sb="7" eb="9">
      <t>ジョウキ</t>
    </rPh>
    <rPh sb="21" eb="23">
      <t>リヨウ</t>
    </rPh>
    <rPh sb="26" eb="27">
      <t>イタダ</t>
    </rPh>
    <phoneticPr fontId="3"/>
  </si>
  <si>
    <t>下の例では、C列にデビットという文字列が含まれ、かつ、その金額が500円の場合、当該のC列：内容を「アマゾンプライム」と変更するように</t>
    <rPh sb="0" eb="1">
      <t>シタ</t>
    </rPh>
    <rPh sb="2" eb="3">
      <t>レイ</t>
    </rPh>
    <rPh sb="7" eb="8">
      <t>レツ</t>
    </rPh>
    <rPh sb="16" eb="19">
      <t>モジレツ</t>
    </rPh>
    <rPh sb="20" eb="21">
      <t>フク</t>
    </rPh>
    <rPh sb="29" eb="31">
      <t>キンガク</t>
    </rPh>
    <rPh sb="35" eb="36">
      <t>エン</t>
    </rPh>
    <rPh sb="37" eb="39">
      <t>バアイ</t>
    </rPh>
    <rPh sb="40" eb="42">
      <t>トウガイ</t>
    </rPh>
    <rPh sb="44" eb="45">
      <t>レツ</t>
    </rPh>
    <rPh sb="46" eb="48">
      <t>ナイヨウ</t>
    </rPh>
    <rPh sb="60" eb="62">
      <t>ヘンコウ</t>
    </rPh>
    <phoneticPr fontId="3"/>
  </si>
  <si>
    <t>電気料</t>
    <rPh sb="0" eb="2">
      <t>デンキ</t>
    </rPh>
    <rPh sb="2" eb="3">
      <t>リョウ</t>
    </rPh>
    <phoneticPr fontId="3"/>
  </si>
  <si>
    <t>ガス料</t>
    <rPh sb="2" eb="3">
      <t>リョウ</t>
    </rPh>
    <phoneticPr fontId="3"/>
  </si>
  <si>
    <t>振込*東京不動産</t>
  </si>
  <si>
    <t>C列：内容が「アマゾンプライム」の場合"固定費"と判定</t>
    <phoneticPr fontId="3"/>
  </si>
  <si>
    <t>IF(OR(F4="住宅",F4="水道・光熱費",G4="インターネット",,C4="アマゾンプライム"),"固定費",IF(F4="収入","収入"))</t>
    <phoneticPr fontId="3"/>
  </si>
  <si>
    <t>06/29(月)</t>
  </si>
  <si>
    <t>06/28(日)</t>
  </si>
  <si>
    <t>06/27(土)</t>
  </si>
  <si>
    <t>06/26(金)</t>
  </si>
  <si>
    <t>チャージ</t>
  </si>
  <si>
    <t>(振替)</t>
  </si>
  <si>
    <t>-930 </t>
  </si>
  <si>
    <t>06/24(水)</t>
  </si>
  <si>
    <t>チャージ（現金）</t>
  </si>
  <si>
    <t>ATM セブン銀行</t>
  </si>
  <si>
    <t>06/23(火)</t>
  </si>
  <si>
    <t>-800 </t>
  </si>
  <si>
    <t>-670 </t>
  </si>
  <si>
    <t>06/22(月)</t>
  </si>
  <si>
    <t>-830 </t>
  </si>
  <si>
    <t>06/21(日)</t>
  </si>
  <si>
    <t>06/20(土)</t>
  </si>
  <si>
    <t>06/19(金)</t>
  </si>
  <si>
    <t>06/18(木)</t>
  </si>
  <si>
    <t>06/17(水)</t>
  </si>
  <si>
    <t>06/16(火)</t>
  </si>
  <si>
    <t>06/15(月)</t>
  </si>
  <si>
    <t>06/14(日)</t>
  </si>
  <si>
    <t>06/13(土)</t>
  </si>
  <si>
    <t>06/12(金)</t>
  </si>
  <si>
    <t>06/11(木)</t>
  </si>
  <si>
    <t>06/10(水)</t>
  </si>
  <si>
    <t>06/08(月)</t>
  </si>
  <si>
    <t>06/07(日)</t>
  </si>
  <si>
    <t>06/06(土)</t>
  </si>
  <si>
    <t>06/05(金)</t>
  </si>
  <si>
    <t>06/04(木)</t>
  </si>
  <si>
    <t>06/03(水)</t>
  </si>
  <si>
    <t>06/02(火)</t>
  </si>
  <si>
    <t>06/01(月)</t>
  </si>
  <si>
    <t>口座振替 東日本プロバイダ</t>
  </si>
  <si>
    <t>スーパー　四丁目店</t>
  </si>
  <si>
    <t>コンビニ</t>
  </si>
  <si>
    <t>ヤフーEdy</t>
  </si>
  <si>
    <t>三菱住友</t>
  </si>
  <si>
    <t>楽天SBI</t>
  </si>
  <si>
    <t>クリーニング</t>
    <phoneticPr fontId="3"/>
  </si>
  <si>
    <t>給与</t>
  </si>
  <si>
    <t>給与</t>
    <rPh sb="0" eb="2">
      <t>キュウヨ</t>
    </rPh>
    <phoneticPr fontId="3"/>
  </si>
  <si>
    <t>X246411</t>
  </si>
  <si>
    <t>X246411</t>
    <phoneticPr fontId="3"/>
  </si>
  <si>
    <t>デビット 19029</t>
  </si>
  <si>
    <t>デビット 19029</t>
    <phoneticPr fontId="3"/>
  </si>
  <si>
    <t>デビット 022222</t>
  </si>
  <si>
    <t>デビット 022222</t>
    <phoneticPr fontId="3"/>
  </si>
  <si>
    <t>デビット 1234</t>
    <phoneticPr fontId="3"/>
  </si>
  <si>
    <t>デビット 298772</t>
  </si>
  <si>
    <t>デビット 298772</t>
    <phoneticPr fontId="3"/>
  </si>
  <si>
    <t>パン屋A</t>
  </si>
  <si>
    <t>パン屋A</t>
    <rPh sb="2" eb="3">
      <t>ヤ</t>
    </rPh>
    <phoneticPr fontId="3"/>
  </si>
  <si>
    <t>パン屋B</t>
  </si>
  <si>
    <t>パン屋B</t>
    <rPh sb="2" eb="3">
      <t>ヤ</t>
    </rPh>
    <phoneticPr fontId="3"/>
  </si>
  <si>
    <t>ラーメン屋A</t>
  </si>
  <si>
    <t>ラーメン屋A</t>
    <rPh sb="4" eb="5">
      <t>ヤ</t>
    </rPh>
    <phoneticPr fontId="3"/>
  </si>
  <si>
    <t>ヤフーEdy</t>
    <phoneticPr fontId="3"/>
  </si>
  <si>
    <t>↓</t>
    <phoneticPr fontId="3"/>
  </si>
  <si>
    <t>(a)</t>
    <phoneticPr fontId="3"/>
  </si>
  <si>
    <t>※注意：置換コマンドで検索場所を「シート」ではなく、「ブック」にオプション変更すると、マクロがエラー処理を起こすことになる。</t>
    <rPh sb="1" eb="3">
      <t>チュウイ</t>
    </rPh>
    <rPh sb="4" eb="6">
      <t>チカン</t>
    </rPh>
    <rPh sb="11" eb="13">
      <t>ケンサク</t>
    </rPh>
    <rPh sb="13" eb="15">
      <t>バショ</t>
    </rPh>
    <rPh sb="37" eb="39">
      <t>ヘンコウ</t>
    </rPh>
    <rPh sb="50" eb="52">
      <t>ショリ</t>
    </rPh>
    <rPh sb="53" eb="54">
      <t>オ</t>
    </rPh>
    <phoneticPr fontId="3"/>
  </si>
  <si>
    <t>※隣のシートのダミーデータを「テスト」シートに貼付して、正常に動作するかテストしてみてください。</t>
    <rPh sb="1" eb="2">
      <t>トナリ</t>
    </rPh>
    <rPh sb="23" eb="25">
      <t>ハリツケ</t>
    </rPh>
    <rPh sb="28" eb="30">
      <t>セイジョウ</t>
    </rPh>
    <rPh sb="31" eb="33">
      <t>ドウサ</t>
    </rPh>
    <phoneticPr fontId="3"/>
  </si>
  <si>
    <t>整形</t>
    <phoneticPr fontId="3"/>
  </si>
  <si>
    <t>計算</t>
    <phoneticPr fontId="3"/>
  </si>
  <si>
    <t>日付</t>
    <phoneticPr fontId="3"/>
  </si>
  <si>
    <t>内容</t>
    <phoneticPr fontId="3"/>
  </si>
  <si>
    <t>金額（円）</t>
    <phoneticPr fontId="3"/>
  </si>
  <si>
    <t>保有金融機関</t>
    <phoneticPr fontId="3"/>
  </si>
  <si>
    <t>大項目</t>
    <phoneticPr fontId="3"/>
  </si>
  <si>
    <t>中項目</t>
    <phoneticPr fontId="3"/>
  </si>
  <si>
    <t>メモ</t>
    <phoneticPr fontId="3"/>
  </si>
  <si>
    <t>分類</t>
    <phoneticPr fontId="3"/>
  </si>
  <si>
    <t>貼付</t>
    <phoneticPr fontId="3"/>
  </si>
  <si>
    <t>このファイルは個人の趣味で作成したものです。</t>
    <rPh sb="7" eb="9">
      <t>コジン</t>
    </rPh>
    <rPh sb="10" eb="12">
      <t>シュミ</t>
    </rPh>
    <rPh sb="13" eb="15">
      <t>サクセイ</t>
    </rPh>
    <phoneticPr fontId="3"/>
  </si>
  <si>
    <t>作成者は、コーディングの経験も知識も乏しく、あくまで自分の個人的な用途としてこのファイルを作成しました。</t>
    <rPh sb="0" eb="3">
      <t>サクセイシャ</t>
    </rPh>
    <rPh sb="12" eb="14">
      <t>ケイケン</t>
    </rPh>
    <rPh sb="15" eb="17">
      <t>チシキ</t>
    </rPh>
    <rPh sb="18" eb="19">
      <t>トボ</t>
    </rPh>
    <rPh sb="26" eb="28">
      <t>ジブン</t>
    </rPh>
    <rPh sb="29" eb="32">
      <t>コジンテキ</t>
    </rPh>
    <rPh sb="33" eb="35">
      <t>ヨウト</t>
    </rPh>
    <rPh sb="45" eb="47">
      <t>サクセイ</t>
    </rPh>
    <phoneticPr fontId="3"/>
  </si>
  <si>
    <t>OS・ブラウザ・エクセルのヴァージョンや、利用している電子マネー・金融機関の種類にもよって、動作が大きく変わることを予めお含み置きください。</t>
    <rPh sb="21" eb="23">
      <t>リヨウ</t>
    </rPh>
    <rPh sb="27" eb="29">
      <t>デンシ</t>
    </rPh>
    <rPh sb="33" eb="35">
      <t>キンユウ</t>
    </rPh>
    <rPh sb="35" eb="37">
      <t>キカン</t>
    </rPh>
    <rPh sb="38" eb="40">
      <t>シュルイ</t>
    </rPh>
    <rPh sb="46" eb="48">
      <t>ドウサ</t>
    </rPh>
    <rPh sb="49" eb="50">
      <t>オオ</t>
    </rPh>
    <rPh sb="52" eb="53">
      <t>カ</t>
    </rPh>
    <rPh sb="58" eb="59">
      <t>アラカジ</t>
    </rPh>
    <rPh sb="61" eb="62">
      <t>フク</t>
    </rPh>
    <rPh sb="63" eb="64">
      <t>オ</t>
    </rPh>
    <phoneticPr fontId="3"/>
  </si>
  <si>
    <t>原則として、エクセルファイル・マクロの修正は行いません。各自で責任を持ち、ご利用ください。</t>
    <rPh sb="0" eb="2">
      <t>ゲンソク</t>
    </rPh>
    <rPh sb="19" eb="21">
      <t>シュウセイ</t>
    </rPh>
    <rPh sb="22" eb="23">
      <t>オコナ</t>
    </rPh>
    <rPh sb="28" eb="30">
      <t>カクジ</t>
    </rPh>
    <rPh sb="31" eb="33">
      <t>セキニン</t>
    </rPh>
    <rPh sb="34" eb="35">
      <t>モ</t>
    </rPh>
    <rPh sb="38" eb="40">
      <t>リヨウ</t>
    </rPh>
    <phoneticPr fontId="3"/>
  </si>
  <si>
    <t>分類</t>
  </si>
  <si>
    <r>
      <t>行の削除は絶対しないここが191行目。193行目にペーストする。</t>
    </r>
    <r>
      <rPr>
        <sz val="11"/>
        <color rgb="FFFF0000"/>
        <rFont val="ＭＳ Ｐゴシック"/>
        <family val="3"/>
        <charset val="128"/>
        <scheme val="minor"/>
      </rPr>
      <t>194行目からコピー領域。</t>
    </r>
    <phoneticPr fontId="3"/>
  </si>
  <si>
    <r>
      <t>※ダミーデータは、「テスト」シートの</t>
    </r>
    <r>
      <rPr>
        <b/>
        <u/>
        <sz val="14"/>
        <color theme="1"/>
        <rFont val="ＭＳ Ｐゴシック"/>
        <family val="3"/>
        <charset val="128"/>
        <scheme val="minor"/>
      </rPr>
      <t>B194のセル</t>
    </r>
    <r>
      <rPr>
        <sz val="11"/>
        <color theme="1"/>
        <rFont val="ＭＳ Ｐゴシック"/>
        <family val="2"/>
        <scheme val="minor"/>
      </rPr>
      <t>に貼り付けるようにしてください。正常にマクロが動作した場合、収支金額は</t>
    </r>
    <r>
      <rPr>
        <b/>
        <u/>
        <sz val="14"/>
        <color rgb="FF00B0F0"/>
        <rFont val="ＭＳ Ｐゴシック"/>
        <family val="3"/>
        <charset val="128"/>
        <scheme val="minor"/>
      </rPr>
      <t>96,587円</t>
    </r>
    <r>
      <rPr>
        <sz val="11"/>
        <color theme="1"/>
        <rFont val="ＭＳ Ｐゴシック"/>
        <family val="3"/>
        <charset val="128"/>
        <scheme val="minor"/>
      </rPr>
      <t>になります。</t>
    </r>
    <rPh sb="26" eb="27">
      <t>ハ</t>
    </rPh>
    <rPh sb="28" eb="29">
      <t>ツ</t>
    </rPh>
    <rPh sb="41" eb="43">
      <t>セイジョウ</t>
    </rPh>
    <rPh sb="48" eb="50">
      <t>ドウサ</t>
    </rPh>
    <rPh sb="52" eb="54">
      <t>バアイ</t>
    </rPh>
    <rPh sb="55" eb="57">
      <t>シュウシ</t>
    </rPh>
    <rPh sb="57" eb="59">
      <t>キンガク</t>
    </rPh>
    <rPh sb="66" eb="67">
      <t>エン</t>
    </rPh>
    <phoneticPr fontId="3"/>
  </si>
  <si>
    <r>
      <t>※ダミーデータでテストを行う場合：データを「テスト」シートの</t>
    </r>
    <r>
      <rPr>
        <b/>
        <u/>
        <sz val="14"/>
        <color theme="1"/>
        <rFont val="HG丸ｺﾞｼｯｸM-PRO"/>
        <family val="3"/>
        <charset val="128"/>
      </rPr>
      <t>B194のセル</t>
    </r>
    <r>
      <rPr>
        <sz val="11"/>
        <color theme="1"/>
        <rFont val="HG丸ｺﾞｼｯｸM-PRO"/>
        <family val="3"/>
        <charset val="128"/>
      </rPr>
      <t>に貼り付けるようにしてください。正常にマクロが動作した場合、収支金額は</t>
    </r>
    <r>
      <rPr>
        <b/>
        <u/>
        <sz val="14"/>
        <color rgb="FF00B0F0"/>
        <rFont val="HG丸ｺﾞｼｯｸM-PRO"/>
        <family val="3"/>
        <charset val="128"/>
      </rPr>
      <t>96,587円</t>
    </r>
    <r>
      <rPr>
        <sz val="11"/>
        <color theme="1"/>
        <rFont val="HG丸ｺﾞｼｯｸM-PRO"/>
        <family val="3"/>
        <charset val="128"/>
      </rPr>
      <t>になります。</t>
    </r>
    <rPh sb="12" eb="13">
      <t>オコナ</t>
    </rPh>
    <rPh sb="14" eb="16">
      <t>バアイ</t>
    </rPh>
    <rPh sb="38" eb="39">
      <t>ハ</t>
    </rPh>
    <rPh sb="40" eb="41">
      <t>ツ</t>
    </rPh>
    <rPh sb="53" eb="55">
      <t>セイジョウ</t>
    </rPh>
    <rPh sb="60" eb="62">
      <t>ドウサ</t>
    </rPh>
    <rPh sb="64" eb="66">
      <t>バアイ</t>
    </rPh>
    <rPh sb="67" eb="69">
      <t>シュウシ</t>
    </rPh>
    <rPh sb="69" eb="71">
      <t>キンガク</t>
    </rPh>
    <rPh sb="78" eb="79">
      <t>エン</t>
    </rPh>
    <phoneticPr fontId="3"/>
  </si>
  <si>
    <t>昨年度残高</t>
    <rPh sb="0" eb="2">
      <t>サクネン</t>
    </rPh>
    <rPh sb="2" eb="3">
      <t>ド</t>
    </rPh>
    <rPh sb="3" eb="5">
      <t>ザンダカ</t>
    </rPh>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</si>
</sst>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176" formatCode="#,##0_ ;[Red]\-#,##0\ "/>
    <numFmt numFmtId="177" formatCode="0_);[Red]\(0\)"/>
    <numFmt numFmtId="178" formatCode="yy/m/d\(aaa\)"/>
  </numFmts>
  <fonts count="22"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2"/>
      <scheme val="minor"/>
    </font>
    <font>
      <sz val="11"/>
      <color rgb="FF0070C0"/>
      <name val="ＭＳ Ｐゴシック"/>
      <family val="2"/>
      <scheme val="minor"/>
    </font>
    <font>
      <sz val="14"/>
      <color theme="1"/>
      <name val="ＭＳ Ｐゴシック"/>
      <family val="2"/>
      <scheme val="minor"/>
    </font>
    <font>
      <b/>
      <sz val="11"/>
      <color rgb="FF0070C0"/>
      <name val="ＭＳ Ｐゴシック"/>
      <family val="3"/>
      <charset val="128"/>
      <scheme val="minor"/>
    </font>
    <font>
      <b/>
      <sz val="11"/>
      <color theme="1"/>
      <name val="ＭＳ Ｐゴシック"/>
      <family val="3"/>
      <charset val="128"/>
      <scheme val="minor"/>
    </font>
    <font>
      <b/>
      <sz val="11"/>
      <color rgb="FFFF0000"/>
      <name val="ＭＳ Ｐゴシック"/>
      <family val="3"/>
      <charset val="128"/>
      <scheme val="minor"/>
    </font>
    <font>
      <sz val="9"/>
      <color theme="1"/>
      <name val="ＭＳ Ｐゴシック"/>
      <family val="2"/>
      <scheme val="minor"/>
    </font>
    <font>
      <sz val="12"/>
      <color theme="3"/>
      <name val="ＭＳ Ｐゴシック"/>
      <family val="2"/>
      <scheme val="minor"/>
    </font>
    <font>
      <b/>
      <sz val="9"/>
      <color indexed="81"/>
      <name val="ＭＳ Ｐゴシック"/>
      <family val="3"/>
      <charset val="128"/>
    </font>
    <font>
      <sz val="11"/>
      <color rgb="FFFF0000"/>
      <name val="ＭＳ Ｐゴシック"/>
      <family val="2"/>
      <scheme val="minor"/>
    </font>
    <font>
      <u/>
      <sz val="11"/>
      <color theme="10"/>
      <name val="ＭＳ Ｐゴシック"/>
      <family val="2"/>
      <scheme val="minor"/>
    </font>
    <font>
      <sz val="11"/>
      <color rgb="FFFF0000"/>
      <name val="ＭＳ Ｐゴシック"/>
      <family val="3"/>
      <charset val="128"/>
      <scheme val="minor"/>
    </font>
    <font>
      <sz val="11"/>
      <color theme="1"/>
      <name val="ＭＳ Ｐゴシック"/>
      <family val="3"/>
      <charset val="128"/>
      <scheme val="minor"/>
    </font>
    <font>
      <b/>
      <u/>
      <sz val="14"/>
      <color theme="1"/>
      <name val="ＭＳ Ｐゴシック"/>
      <family val="3"/>
      <charset val="128"/>
      <scheme val="minor"/>
    </font>
    <font>
      <b/>
      <u/>
      <sz val="14"/>
      <color rgb="FF00B0F0"/>
      <name val="ＭＳ Ｐゴシック"/>
      <family val="3"/>
      <charset val="128"/>
      <scheme val="minor"/>
    </font>
    <font>
      <sz val="11"/>
      <color theme="1"/>
      <name val="HG丸ｺﾞｼｯｸM-PRO"/>
      <family val="3"/>
      <charset val="128"/>
    </font>
    <font>
      <b/>
      <u/>
      <sz val="14"/>
      <color theme="1"/>
      <name val="HG丸ｺﾞｼｯｸM-PRO"/>
      <family val="3"/>
      <charset val="128"/>
    </font>
    <font>
      <b/>
      <u/>
      <sz val="14"/>
      <color rgb="FF00B0F0"/>
      <name val="HG丸ｺﾞｼｯｸM-PRO"/>
      <family val="3"/>
      <charset val="128"/>
    </font>
  </fonts>
  <fills count="3">
    <fill>
      <patternFill patternType="none"/>
    </fill>
    <fill>
      <patternFill patternType="gray125"/>
    </fill>
    <fill>
      <patternFill patternType="solid">
        <fgColor rgb="FFFFFF00"/>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diagonalUp="1">
      <left style="medium">
        <color indexed="64"/>
      </left>
      <right style="thin">
        <color indexed="64"/>
      </right>
      <top style="medium">
        <color indexed="64"/>
      </top>
      <bottom style="double">
        <color indexed="64"/>
      </bottom>
      <diagonal style="thin">
        <color indexed="64"/>
      </diagonal>
    </border>
    <border>
      <left style="thin">
        <color indexed="64"/>
      </left>
      <right style="double">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double">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bottom style="medium">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38" fontId="4" fillId="0" borderId="0" applyFont="0" applyFill="0" applyBorder="0" applyAlignment="0" applyProtection="0">
      <alignment vertical="center"/>
    </xf>
    <xf numFmtId="6" fontId="4" fillId="0" borderId="0" applyFont="0" applyFill="0" applyBorder="0" applyAlignment="0" applyProtection="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0" fontId="14" fillId="0" borderId="0" applyNumberFormat="0" applyFill="0" applyBorder="0" applyAlignment="0" applyProtection="0"/>
  </cellStyleXfs>
  <cellXfs count="84">
    <xf numFmtId="0" fontId="0" fillId="0" borderId="0" xfId="0"/>
    <xf numFmtId="3" fontId="0" fillId="0" borderId="0" xfId="0" applyNumberFormat="1"/>
    <xf numFmtId="38" fontId="0" fillId="0" borderId="0" xfId="1" applyFont="1" applyAlignment="1"/>
    <xf numFmtId="14" fontId="0" fillId="0" borderId="0" xfId="0" applyNumberFormat="1"/>
    <xf numFmtId="0" fontId="0" fillId="0" borderId="0" xfId="0" applyAlignment="1">
      <alignment wrapText="1"/>
    </xf>
    <xf numFmtId="0" fontId="0" fillId="0" borderId="0" xfId="0" applyBorder="1"/>
    <xf numFmtId="176" fontId="0" fillId="0" borderId="0" xfId="2" applyNumberFormat="1" applyFont="1" applyAlignment="1"/>
    <xf numFmtId="176" fontId="0" fillId="0" borderId="0" xfId="0" applyNumberFormat="1"/>
    <xf numFmtId="0" fontId="0" fillId="0" borderId="0" xfId="0" applyAlignment="1">
      <alignment horizontal="left" wrapText="1"/>
    </xf>
    <xf numFmtId="176" fontId="0" fillId="0" borderId="1" xfId="0" applyNumberFormat="1" applyBorder="1"/>
    <xf numFmtId="176" fontId="5" fillId="0" borderId="1" xfId="2" applyNumberFormat="1" applyFont="1" applyBorder="1" applyAlignment="1"/>
    <xf numFmtId="177" fontId="0" fillId="0" borderId="0" xfId="0" applyNumberFormat="1"/>
    <xf numFmtId="0" fontId="6" fillId="0" borderId="0" xfId="0" applyFont="1" applyAlignment="1">
      <alignment horizontal="left" vertical="center"/>
    </xf>
    <xf numFmtId="0" fontId="0" fillId="0" borderId="0" xfId="0" applyBorder="1" applyAlignment="1">
      <alignment wrapText="1"/>
    </xf>
    <xf numFmtId="0" fontId="0" fillId="0" borderId="2" xfId="0" applyBorder="1"/>
    <xf numFmtId="176" fontId="7" fillId="0" borderId="2" xfId="2" applyNumberFormat="1" applyFont="1" applyBorder="1" applyAlignment="1">
      <alignment horizontal="right"/>
    </xf>
    <xf numFmtId="176" fontId="5" fillId="0" borderId="0" xfId="2" applyNumberFormat="1" applyFont="1" applyBorder="1" applyAlignment="1">
      <alignment horizontal="right"/>
    </xf>
    <xf numFmtId="176" fontId="0" fillId="0" borderId="0" xfId="0" applyNumberFormat="1" applyBorder="1" applyAlignment="1">
      <alignment horizontal="right"/>
    </xf>
    <xf numFmtId="176" fontId="0" fillId="0" borderId="2" xfId="0" applyNumberFormat="1" applyBorder="1" applyAlignment="1">
      <alignment horizontal="right"/>
    </xf>
    <xf numFmtId="176" fontId="8" fillId="0" borderId="0" xfId="0" applyNumberFormat="1" applyFont="1" applyAlignment="1">
      <alignment horizontal="right"/>
    </xf>
    <xf numFmtId="176" fontId="7" fillId="0" borderId="0" xfId="2" applyNumberFormat="1" applyFont="1" applyBorder="1" applyAlignment="1">
      <alignment horizontal="right"/>
    </xf>
    <xf numFmtId="177" fontId="0" fillId="0" borderId="0" xfId="0" applyNumberFormat="1" applyAlignment="1">
      <alignment horizontal="right"/>
    </xf>
    <xf numFmtId="0" fontId="0" fillId="0" borderId="0" xfId="0" applyFill="1"/>
    <xf numFmtId="176" fontId="0" fillId="0" borderId="0" xfId="2" applyNumberFormat="1" applyFont="1" applyFill="1" applyAlignment="1"/>
    <xf numFmtId="176" fontId="0" fillId="0" borderId="3" xfId="0" applyNumberFormat="1" applyBorder="1"/>
    <xf numFmtId="176" fontId="0" fillId="0" borderId="6" xfId="0" applyNumberFormat="1" applyBorder="1"/>
    <xf numFmtId="0" fontId="0" fillId="0" borderId="7" xfId="0" applyNumberFormat="1" applyBorder="1"/>
    <xf numFmtId="176" fontId="0" fillId="0" borderId="5" xfId="0" applyNumberFormat="1" applyBorder="1"/>
    <xf numFmtId="0" fontId="0" fillId="0" borderId="10" xfId="0" applyFill="1" applyBorder="1"/>
    <xf numFmtId="176" fontId="0" fillId="0" borderId="11" xfId="0" applyNumberFormat="1" applyBorder="1"/>
    <xf numFmtId="176" fontId="0" fillId="0" borderId="0" xfId="0" applyNumberFormat="1" applyBorder="1"/>
    <xf numFmtId="176" fontId="0" fillId="0" borderId="14" xfId="0" applyNumberFormat="1" applyBorder="1"/>
    <xf numFmtId="176" fontId="0" fillId="0" borderId="12" xfId="0" applyNumberFormat="1" applyBorder="1"/>
    <xf numFmtId="176" fontId="0" fillId="0" borderId="13" xfId="0" applyNumberFormat="1" applyBorder="1"/>
    <xf numFmtId="0" fontId="0" fillId="0" borderId="15" xfId="0" applyBorder="1"/>
    <xf numFmtId="0" fontId="0" fillId="0" borderId="16" xfId="0" applyNumberFormat="1" applyBorder="1"/>
    <xf numFmtId="0" fontId="0" fillId="0" borderId="4" xfId="0" applyBorder="1" applyAlignment="1">
      <alignment horizontal="left"/>
    </xf>
    <xf numFmtId="176" fontId="0" fillId="0" borderId="18" xfId="0" applyNumberFormat="1" applyBorder="1"/>
    <xf numFmtId="0" fontId="0" fillId="0" borderId="8" xfId="0" applyBorder="1" applyAlignment="1">
      <alignment horizontal="left"/>
    </xf>
    <xf numFmtId="176" fontId="0" fillId="0" borderId="19" xfId="0" applyNumberFormat="1" applyBorder="1"/>
    <xf numFmtId="0" fontId="0" fillId="0" borderId="9" xfId="0" applyBorder="1" applyAlignment="1">
      <alignment horizontal="left"/>
    </xf>
    <xf numFmtId="176" fontId="0" fillId="0" borderId="20" xfId="0" applyNumberFormat="1" applyBorder="1"/>
    <xf numFmtId="176" fontId="0" fillId="0" borderId="21" xfId="0" applyNumberFormat="1" applyBorder="1"/>
    <xf numFmtId="176" fontId="0" fillId="0" borderId="22" xfId="0" applyNumberFormat="1" applyBorder="1"/>
    <xf numFmtId="176" fontId="0" fillId="0" borderId="23" xfId="0" applyNumberFormat="1" applyBorder="1"/>
    <xf numFmtId="0" fontId="0" fillId="0" borderId="17" xfId="0" applyBorder="1" applyAlignment="1">
      <alignment horizontal="center"/>
    </xf>
    <xf numFmtId="0" fontId="0" fillId="0" borderId="0" xfId="0" applyAlignment="1">
      <alignment horizontal="center"/>
    </xf>
    <xf numFmtId="0" fontId="0" fillId="0" borderId="0" xfId="0" applyFill="1" applyBorder="1" applyAlignment="1">
      <alignment horizontal="left"/>
    </xf>
    <xf numFmtId="0" fontId="0" fillId="0" borderId="0" xfId="0" applyFill="1" applyBorder="1"/>
    <xf numFmtId="176" fontId="0" fillId="0" borderId="2" xfId="0" applyNumberFormat="1" applyBorder="1"/>
    <xf numFmtId="176" fontId="8" fillId="0" borderId="0" xfId="0" applyNumberFormat="1" applyFont="1" applyBorder="1"/>
    <xf numFmtId="38" fontId="9" fillId="0" borderId="0" xfId="1" applyFont="1" applyBorder="1" applyAlignment="1"/>
    <xf numFmtId="38" fontId="9" fillId="0" borderId="0" xfId="1" applyFont="1" applyAlignment="1"/>
    <xf numFmtId="3" fontId="0" fillId="0" borderId="0" xfId="0" applyNumberFormat="1" applyFill="1"/>
    <xf numFmtId="6" fontId="8" fillId="0" borderId="0" xfId="2" applyFont="1" applyBorder="1" applyAlignment="1"/>
    <xf numFmtId="38" fontId="7" fillId="0" borderId="0" xfId="1" applyFont="1" applyBorder="1" applyAlignment="1"/>
    <xf numFmtId="0" fontId="0" fillId="0" borderId="0" xfId="0" applyNumberFormat="1"/>
    <xf numFmtId="38" fontId="7" fillId="0" borderId="0" xfId="0" applyNumberFormat="1" applyFont="1" applyBorder="1"/>
    <xf numFmtId="38" fontId="0" fillId="0" borderId="0" xfId="1" applyFont="1" applyAlignment="1">
      <alignment horizontal="right"/>
    </xf>
    <xf numFmtId="38" fontId="0" fillId="0" borderId="0" xfId="1" applyFont="1" applyFill="1" applyAlignment="1"/>
    <xf numFmtId="176" fontId="0" fillId="2" borderId="1" xfId="0" applyNumberFormat="1" applyFill="1" applyBorder="1"/>
    <xf numFmtId="0" fontId="0" fillId="0" borderId="24" xfId="0" applyBorder="1"/>
    <xf numFmtId="0" fontId="0" fillId="0" borderId="24" xfId="0" applyBorder="1" applyAlignment="1">
      <alignment wrapText="1"/>
    </xf>
    <xf numFmtId="176" fontId="0" fillId="0" borderId="24" xfId="0" applyNumberFormat="1" applyFill="1" applyBorder="1"/>
    <xf numFmtId="0" fontId="0" fillId="0" borderId="24" xfId="0" applyFill="1" applyBorder="1"/>
    <xf numFmtId="176" fontId="0" fillId="0" borderId="0" xfId="0" applyNumberFormat="1" applyFill="1" applyBorder="1"/>
    <xf numFmtId="56" fontId="0" fillId="0" borderId="0" xfId="0" applyNumberFormat="1"/>
    <xf numFmtId="178" fontId="0" fillId="0" borderId="0" xfId="0" applyNumberFormat="1"/>
    <xf numFmtId="178" fontId="0" fillId="0" borderId="0" xfId="0" applyNumberFormat="1" applyFill="1"/>
    <xf numFmtId="38" fontId="0" fillId="0" borderId="1" xfId="1" applyFont="1" applyBorder="1" applyAlignment="1"/>
    <xf numFmtId="38" fontId="5" fillId="0" borderId="0" xfId="1" applyFont="1" applyBorder="1" applyAlignment="1">
      <alignment horizontal="right"/>
    </xf>
    <xf numFmtId="38" fontId="7" fillId="0" borderId="2" xfId="1" applyFont="1" applyBorder="1" applyAlignment="1">
      <alignment horizontal="right"/>
    </xf>
    <xf numFmtId="38" fontId="0" fillId="0" borderId="0" xfId="1" applyFont="1" applyBorder="1" applyAlignment="1">
      <alignment horizontal="right"/>
    </xf>
    <xf numFmtId="38" fontId="0" fillId="0" borderId="2" xfId="1" applyFont="1" applyBorder="1" applyAlignment="1">
      <alignment horizontal="right"/>
    </xf>
    <xf numFmtId="38" fontId="8" fillId="0" borderId="0" xfId="1" applyFont="1" applyAlignment="1">
      <alignment horizontal="right"/>
    </xf>
    <xf numFmtId="38" fontId="7" fillId="0" borderId="0" xfId="1" applyFont="1" applyBorder="1" applyAlignment="1">
      <alignment horizontal="right"/>
    </xf>
    <xf numFmtId="0" fontId="10" fillId="0" borderId="0" xfId="0" applyFont="1"/>
    <xf numFmtId="56" fontId="0" fillId="0" borderId="0" xfId="0" applyNumberFormat="1" applyFill="1"/>
    <xf numFmtId="0" fontId="13" fillId="0" borderId="0" xfId="0" applyFont="1"/>
    <xf numFmtId="0" fontId="0" fillId="0" borderId="25" xfId="0" applyBorder="1"/>
    <xf numFmtId="0" fontId="14" fillId="0" borderId="0" xfId="6"/>
    <xf numFmtId="0" fontId="19" fillId="0" borderId="0" xfId="0" applyFont="1"/>
    <xf numFmtId="0" fontId="0" fillId="0" borderId="26" xfId="0" applyBorder="1"/>
    <xf numFmtId="38" fontId="11" fillId="0" borderId="27" xfId="1" applyFont="1" applyBorder="1" applyAlignment="1"/>
  </cellXfs>
  <cellStyles count="7">
    <cellStyle name="ハイパーリンク" xfId="6" builtinId="8"/>
    <cellStyle name="桁区切り" xfId="1" builtinId="6"/>
    <cellStyle name="桁区切り 2" xfId="4"/>
    <cellStyle name="通貨" xfId="2" builtinId="7"/>
    <cellStyle name="標準" xfId="0" builtinId="0"/>
    <cellStyle name="標準 2" xfId="3"/>
    <cellStyle name="標準 3" xfId="5"/>
  </cellStyles>
  <dxfs count="10">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10</xdr:col>
      <xdr:colOff>981075</xdr:colOff>
      <xdr:row>186</xdr:row>
      <xdr:rowOff>38100</xdr:rowOff>
    </xdr:from>
    <xdr:to>
      <xdr:col>11</xdr:col>
      <xdr:colOff>657225</xdr:colOff>
      <xdr:row>189</xdr:row>
      <xdr:rowOff>47624</xdr:rowOff>
    </xdr:to>
    <xdr:sp macro="[0]!〇一括処理" textlink="">
      <xdr:nvSpPr>
        <xdr:cNvPr id="2" name="テキスト ボックス 1"/>
        <xdr:cNvSpPr txBox="1"/>
      </xdr:nvSpPr>
      <xdr:spPr>
        <a:xfrm>
          <a:off x="12268200" y="32194500"/>
          <a:ext cx="914400" cy="533399"/>
        </a:xfrm>
        <a:prstGeom prst="rect">
          <a:avLst/>
        </a:prstGeom>
        <a:solidFill>
          <a:schemeClr val="lt1"/>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100"/>
            <a:t>転記</a:t>
          </a:r>
          <a:endParaRPr kumimoji="1" lang="en-US" altLang="ja-JP" sz="1100"/>
        </a:p>
        <a:p>
          <a:pPr algn="l"/>
          <a:r>
            <a:rPr kumimoji="1" lang="ja-JP" altLang="en-US" sz="1100"/>
            <a:t>一括処理</a:t>
          </a:r>
        </a:p>
      </xdr:txBody>
    </xdr:sp>
    <xdr:clientData/>
  </xdr:twoCellAnchor>
  <xdr:twoCellAnchor>
    <xdr:from>
      <xdr:col>11</xdr:col>
      <xdr:colOff>933450</xdr:colOff>
      <xdr:row>186</xdr:row>
      <xdr:rowOff>9526</xdr:rowOff>
    </xdr:from>
    <xdr:to>
      <xdr:col>11</xdr:col>
      <xdr:colOff>2486025</xdr:colOff>
      <xdr:row>189</xdr:row>
      <xdr:rowOff>57151</xdr:rowOff>
    </xdr:to>
    <xdr:sp macro="[0]!〇一括処理_転記後" textlink="">
      <xdr:nvSpPr>
        <xdr:cNvPr id="3" name="テキスト ボックス 2"/>
        <xdr:cNvSpPr txBox="1"/>
      </xdr:nvSpPr>
      <xdr:spPr>
        <a:xfrm>
          <a:off x="13458825" y="32165926"/>
          <a:ext cx="15525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t>転記後</a:t>
          </a:r>
          <a:r>
            <a:rPr kumimoji="1" lang="en-US" altLang="ja-JP" sz="900"/>
            <a:t>(</a:t>
          </a:r>
          <a:r>
            <a:rPr kumimoji="1" lang="ja-JP" altLang="en-US" sz="900"/>
            <a:t>データクリア</a:t>
          </a:r>
          <a:r>
            <a:rPr kumimoji="1" lang="en-US" altLang="ja-JP" sz="900"/>
            <a:t>)</a:t>
          </a:r>
        </a:p>
        <a:p>
          <a:pPr algn="l"/>
          <a:r>
            <a:rPr kumimoji="1" lang="ja-JP" altLang="en-US" sz="1100"/>
            <a:t>一括処理</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94</xdr:row>
      <xdr:rowOff>123826</xdr:rowOff>
    </xdr:from>
    <xdr:to>
      <xdr:col>2</xdr:col>
      <xdr:colOff>161925</xdr:colOff>
      <xdr:row>108</xdr:row>
      <xdr:rowOff>114300</xdr:rowOff>
    </xdr:to>
    <xdr:grpSp>
      <xdr:nvGrpSpPr>
        <xdr:cNvPr id="7" name="グループ化 6"/>
        <xdr:cNvGrpSpPr/>
      </xdr:nvGrpSpPr>
      <xdr:grpSpPr>
        <a:xfrm>
          <a:off x="19050" y="16240126"/>
          <a:ext cx="1514475" cy="2390774"/>
          <a:chOff x="6172200" y="1028700"/>
          <a:chExt cx="2076190" cy="4047619"/>
        </a:xfrm>
      </xdr:grpSpPr>
      <xdr:pic>
        <xdr:nvPicPr>
          <xdr:cNvPr id="2" name="図 1"/>
          <xdr:cNvPicPr>
            <a:picLocks noChangeAspect="1"/>
          </xdr:cNvPicPr>
        </xdr:nvPicPr>
        <xdr:blipFill>
          <a:blip xmlns:r="http://schemas.openxmlformats.org/officeDocument/2006/relationships" r:embed="rId1"/>
          <a:stretch>
            <a:fillRect/>
          </a:stretch>
        </xdr:blipFill>
        <xdr:spPr>
          <a:xfrm>
            <a:off x="6172200" y="1028700"/>
            <a:ext cx="2076190" cy="4047619"/>
          </a:xfrm>
          <a:prstGeom prst="rect">
            <a:avLst/>
          </a:prstGeom>
        </xdr:spPr>
      </xdr:pic>
      <xdr:sp macro="" textlink="">
        <xdr:nvSpPr>
          <xdr:cNvPr id="3" name="円/楕円 2"/>
          <xdr:cNvSpPr/>
        </xdr:nvSpPr>
        <xdr:spPr>
          <a:xfrm>
            <a:off x="6657975" y="1657350"/>
            <a:ext cx="400050" cy="3905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 name="直線矢印コネクタ 4"/>
          <xdr:cNvCxnSpPr/>
        </xdr:nvCxnSpPr>
        <xdr:spPr>
          <a:xfrm flipH="1" flipV="1">
            <a:off x="7067550" y="1924050"/>
            <a:ext cx="838200" cy="2286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grpSp>
    <xdr:clientData/>
  </xdr:twoCellAnchor>
  <xdr:twoCellAnchor editAs="oneCell">
    <xdr:from>
      <xdr:col>0</xdr:col>
      <xdr:colOff>0</xdr:colOff>
      <xdr:row>69</xdr:row>
      <xdr:rowOff>95250</xdr:rowOff>
    </xdr:from>
    <xdr:to>
      <xdr:col>8</xdr:col>
      <xdr:colOff>655011</xdr:colOff>
      <xdr:row>88</xdr:row>
      <xdr:rowOff>104775</xdr:rowOff>
    </xdr:to>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52500"/>
          <a:ext cx="6141411" cy="3267075"/>
        </a:xfrm>
        <a:prstGeom prst="rect">
          <a:avLst/>
        </a:prstGeom>
      </xdr:spPr>
    </xdr:pic>
    <xdr:clientData/>
  </xdr:twoCellAnchor>
  <xdr:twoCellAnchor editAs="oneCell">
    <xdr:from>
      <xdr:col>0</xdr:col>
      <xdr:colOff>0</xdr:colOff>
      <xdr:row>122</xdr:row>
      <xdr:rowOff>9526</xdr:rowOff>
    </xdr:from>
    <xdr:to>
      <xdr:col>9</xdr:col>
      <xdr:colOff>5391</xdr:colOff>
      <xdr:row>131</xdr:row>
      <xdr:rowOff>9526</xdr:rowOff>
    </xdr:to>
    <xdr:pic>
      <xdr:nvPicPr>
        <xdr:cNvPr id="14" name="図 1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6358"/>
        <a:stretch/>
      </xdr:blipFill>
      <xdr:spPr>
        <a:xfrm>
          <a:off x="0" y="14754226"/>
          <a:ext cx="6177591" cy="1543050"/>
        </a:xfrm>
        <a:prstGeom prst="rect">
          <a:avLst/>
        </a:prstGeom>
      </xdr:spPr>
    </xdr:pic>
    <xdr:clientData/>
  </xdr:twoCellAnchor>
  <xdr:twoCellAnchor editAs="oneCell">
    <xdr:from>
      <xdr:col>0</xdr:col>
      <xdr:colOff>1</xdr:colOff>
      <xdr:row>58</xdr:row>
      <xdr:rowOff>76200</xdr:rowOff>
    </xdr:from>
    <xdr:to>
      <xdr:col>8</xdr:col>
      <xdr:colOff>407955</xdr:colOff>
      <xdr:row>66</xdr:row>
      <xdr:rowOff>38100</xdr:rowOff>
    </xdr:to>
    <xdr:pic>
      <xdr:nvPicPr>
        <xdr:cNvPr id="8" name="図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0020300"/>
          <a:ext cx="5894354" cy="1333500"/>
        </a:xfrm>
        <a:prstGeom prst="rect">
          <a:avLst/>
        </a:prstGeom>
      </xdr:spPr>
    </xdr:pic>
    <xdr:clientData/>
  </xdr:twoCellAnchor>
  <xdr:twoCellAnchor editAs="oneCell">
    <xdr:from>
      <xdr:col>0</xdr:col>
      <xdr:colOff>0</xdr:colOff>
      <xdr:row>152</xdr:row>
      <xdr:rowOff>0</xdr:rowOff>
    </xdr:from>
    <xdr:to>
      <xdr:col>2</xdr:col>
      <xdr:colOff>114507</xdr:colOff>
      <xdr:row>156</xdr:row>
      <xdr:rowOff>57254</xdr:rowOff>
    </xdr:to>
    <xdr:pic>
      <xdr:nvPicPr>
        <xdr:cNvPr id="12" name="図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4401800"/>
          <a:ext cx="1486107" cy="743054"/>
        </a:xfrm>
        <a:prstGeom prst="rect">
          <a:avLst/>
        </a:prstGeom>
      </xdr:spPr>
    </xdr:pic>
    <xdr:clientData/>
  </xdr:twoCellAnchor>
  <xdr:twoCellAnchor editAs="oneCell">
    <xdr:from>
      <xdr:col>0</xdr:col>
      <xdr:colOff>0</xdr:colOff>
      <xdr:row>168</xdr:row>
      <xdr:rowOff>1</xdr:rowOff>
    </xdr:from>
    <xdr:to>
      <xdr:col>3</xdr:col>
      <xdr:colOff>9525</xdr:colOff>
      <xdr:row>191</xdr:row>
      <xdr:rowOff>38101</xdr:rowOff>
    </xdr:to>
    <xdr:pic>
      <xdr:nvPicPr>
        <xdr:cNvPr id="16" name="図 15"/>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50912" b="6291"/>
        <a:stretch/>
      </xdr:blipFill>
      <xdr:spPr>
        <a:xfrm>
          <a:off x="0" y="16802101"/>
          <a:ext cx="2066925" cy="3981450"/>
        </a:xfrm>
        <a:prstGeom prst="rect">
          <a:avLst/>
        </a:prstGeom>
      </xdr:spPr>
    </xdr:pic>
    <xdr:clientData/>
  </xdr:twoCellAnchor>
  <xdr:twoCellAnchor editAs="oneCell">
    <xdr:from>
      <xdr:col>0</xdr:col>
      <xdr:colOff>0</xdr:colOff>
      <xdr:row>133</xdr:row>
      <xdr:rowOff>0</xdr:rowOff>
    </xdr:from>
    <xdr:to>
      <xdr:col>9</xdr:col>
      <xdr:colOff>181862</xdr:colOff>
      <xdr:row>144</xdr:row>
      <xdr:rowOff>9790</xdr:rowOff>
    </xdr:to>
    <xdr:pic>
      <xdr:nvPicPr>
        <xdr:cNvPr id="17" name="図 16"/>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13373100"/>
          <a:ext cx="6354062" cy="1895740"/>
        </a:xfrm>
        <a:prstGeom prst="rect">
          <a:avLst/>
        </a:prstGeom>
      </xdr:spPr>
    </xdr:pic>
    <xdr:clientData/>
  </xdr:twoCellAnchor>
  <xdr:twoCellAnchor>
    <xdr:from>
      <xdr:col>6</xdr:col>
      <xdr:colOff>285750</xdr:colOff>
      <xdr:row>142</xdr:row>
      <xdr:rowOff>76200</xdr:rowOff>
    </xdr:from>
    <xdr:to>
      <xdr:col>8</xdr:col>
      <xdr:colOff>523875</xdr:colOff>
      <xdr:row>144</xdr:row>
      <xdr:rowOff>76200</xdr:rowOff>
    </xdr:to>
    <xdr:sp macro="" textlink="">
      <xdr:nvSpPr>
        <xdr:cNvPr id="18" name="円/楕円 17"/>
        <xdr:cNvSpPr/>
      </xdr:nvSpPr>
      <xdr:spPr>
        <a:xfrm>
          <a:off x="4400550" y="14992350"/>
          <a:ext cx="1609725" cy="342900"/>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304800</xdr:colOff>
      <xdr:row>124</xdr:row>
      <xdr:rowOff>57149</xdr:rowOff>
    </xdr:from>
    <xdr:to>
      <xdr:col>8</xdr:col>
      <xdr:colOff>542925</xdr:colOff>
      <xdr:row>127</xdr:row>
      <xdr:rowOff>123824</xdr:rowOff>
    </xdr:to>
    <xdr:sp macro="" textlink="">
      <xdr:nvSpPr>
        <xdr:cNvPr id="19" name="円/楕円 18"/>
        <xdr:cNvSpPr/>
      </xdr:nvSpPr>
      <xdr:spPr>
        <a:xfrm>
          <a:off x="4419600" y="11887199"/>
          <a:ext cx="1609725" cy="581025"/>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28575</xdr:colOff>
      <xdr:row>10</xdr:row>
      <xdr:rowOff>66675</xdr:rowOff>
    </xdr:from>
    <xdr:to>
      <xdr:col>6</xdr:col>
      <xdr:colOff>218599</xdr:colOff>
      <xdr:row>21</xdr:row>
      <xdr:rowOff>152400</xdr:rowOff>
    </xdr:to>
    <xdr:pic>
      <xdr:nvPicPr>
        <xdr:cNvPr id="20" name="図 1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8575" y="1781175"/>
          <a:ext cx="4304824" cy="1971675"/>
        </a:xfrm>
        <a:prstGeom prst="rect">
          <a:avLst/>
        </a:prstGeom>
      </xdr:spPr>
    </xdr:pic>
    <xdr:clientData/>
  </xdr:twoCellAnchor>
  <xdr:twoCellAnchor editAs="oneCell">
    <xdr:from>
      <xdr:col>0</xdr:col>
      <xdr:colOff>0</xdr:colOff>
      <xdr:row>27</xdr:row>
      <xdr:rowOff>0</xdr:rowOff>
    </xdr:from>
    <xdr:to>
      <xdr:col>4</xdr:col>
      <xdr:colOff>28575</xdr:colOff>
      <xdr:row>34</xdr:row>
      <xdr:rowOff>66675</xdr:rowOff>
    </xdr:to>
    <xdr:pic>
      <xdr:nvPicPr>
        <xdr:cNvPr id="21" name="図 2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4629150"/>
          <a:ext cx="2771775" cy="1266825"/>
        </a:xfrm>
        <a:prstGeom prst="rect">
          <a:avLst/>
        </a:prstGeom>
      </xdr:spPr>
    </xdr:pic>
    <xdr:clientData/>
  </xdr:twoCellAnchor>
  <xdr:twoCellAnchor editAs="oneCell">
    <xdr:from>
      <xdr:col>0</xdr:col>
      <xdr:colOff>76200</xdr:colOff>
      <xdr:row>40</xdr:row>
      <xdr:rowOff>47625</xdr:rowOff>
    </xdr:from>
    <xdr:to>
      <xdr:col>5</xdr:col>
      <xdr:colOff>371475</xdr:colOff>
      <xdr:row>53</xdr:row>
      <xdr:rowOff>47952</xdr:rowOff>
    </xdr:to>
    <xdr:pic>
      <xdr:nvPicPr>
        <xdr:cNvPr id="22" name="図 2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200" y="6905625"/>
          <a:ext cx="3724275" cy="2229177"/>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0</xdr:colOff>
      <xdr:row>203</xdr:row>
      <xdr:rowOff>142875</xdr:rowOff>
    </xdr:from>
    <xdr:to>
      <xdr:col>7</xdr:col>
      <xdr:colOff>438150</xdr:colOff>
      <xdr:row>219</xdr:row>
      <xdr:rowOff>9525</xdr:rowOff>
    </xdr:to>
    <xdr:pic>
      <xdr:nvPicPr>
        <xdr:cNvPr id="6" name="図 5"/>
        <xdr:cNvPicPr>
          <a:picLocks noChangeAspect="1"/>
        </xdr:cNvPicPr>
      </xdr:nvPicPr>
      <xdr:blipFill rotWithShape="1">
        <a:blip xmlns:r="http://schemas.openxmlformats.org/officeDocument/2006/relationships" r:embed="rId11"/>
        <a:srcRect l="42645" t="44896" r="19155" b="24656"/>
        <a:stretch/>
      </xdr:blipFill>
      <xdr:spPr>
        <a:xfrm>
          <a:off x="0" y="34775775"/>
          <a:ext cx="5238750" cy="2609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28</xdr:row>
      <xdr:rowOff>9525</xdr:rowOff>
    </xdr:from>
    <xdr:to>
      <xdr:col>5</xdr:col>
      <xdr:colOff>652716</xdr:colOff>
      <xdr:row>48</xdr:row>
      <xdr:rowOff>66675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10125"/>
          <a:ext cx="6377241" cy="34861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xcelkamiwaza.com/sheet_name_chan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B16"/>
  <sheetViews>
    <sheetView workbookViewId="0">
      <selection activeCell="B13" sqref="B13"/>
    </sheetView>
  </sheetViews>
  <sheetFormatPr defaultRowHeight="13.5" x14ac:dyDescent="0.15"/>
  <cols>
    <col min="1" max="2" width="22.75" bestFit="1" customWidth="1"/>
  </cols>
  <sheetData>
    <row r="2" spans="1:2" x14ac:dyDescent="0.15">
      <c r="A2" t="s">
        <v>58</v>
      </c>
      <c r="B2" t="s">
        <v>58</v>
      </c>
    </row>
    <row r="3" spans="1:2" x14ac:dyDescent="0.15">
      <c r="A3" t="s">
        <v>59</v>
      </c>
      <c r="B3" t="s">
        <v>59</v>
      </c>
    </row>
    <row r="4" spans="1:2" x14ac:dyDescent="0.15">
      <c r="A4">
        <v>1812</v>
      </c>
      <c r="B4">
        <v>1812</v>
      </c>
    </row>
    <row r="5" spans="1:2" x14ac:dyDescent="0.15">
      <c r="A5">
        <v>1901</v>
      </c>
      <c r="B5">
        <v>2001</v>
      </c>
    </row>
    <row r="6" spans="1:2" x14ac:dyDescent="0.15">
      <c r="A6">
        <v>1902</v>
      </c>
      <c r="B6" s="56">
        <v>2002</v>
      </c>
    </row>
    <row r="7" spans="1:2" x14ac:dyDescent="0.15">
      <c r="A7">
        <v>1903</v>
      </c>
      <c r="B7">
        <v>2003</v>
      </c>
    </row>
    <row r="8" spans="1:2" x14ac:dyDescent="0.15">
      <c r="A8">
        <v>1904</v>
      </c>
      <c r="B8" s="56">
        <v>2004</v>
      </c>
    </row>
    <row r="9" spans="1:2" x14ac:dyDescent="0.15">
      <c r="A9">
        <v>1905</v>
      </c>
      <c r="B9">
        <v>2005</v>
      </c>
    </row>
    <row r="10" spans="1:2" x14ac:dyDescent="0.15">
      <c r="A10">
        <v>1906</v>
      </c>
      <c r="B10" s="56">
        <v>2006</v>
      </c>
    </row>
    <row r="11" spans="1:2" x14ac:dyDescent="0.15">
      <c r="A11">
        <v>1907</v>
      </c>
      <c r="B11">
        <v>2007</v>
      </c>
    </row>
    <row r="12" spans="1:2" x14ac:dyDescent="0.15">
      <c r="A12">
        <v>1908</v>
      </c>
      <c r="B12" s="56">
        <v>2008</v>
      </c>
    </row>
    <row r="13" spans="1:2" x14ac:dyDescent="0.15">
      <c r="A13">
        <v>1909</v>
      </c>
      <c r="B13">
        <v>2009</v>
      </c>
    </row>
    <row r="14" spans="1:2" x14ac:dyDescent="0.15">
      <c r="A14">
        <v>1910</v>
      </c>
      <c r="B14" s="56">
        <v>2010</v>
      </c>
    </row>
    <row r="15" spans="1:2" x14ac:dyDescent="0.15">
      <c r="A15">
        <v>1911</v>
      </c>
      <c r="B15">
        <v>2011</v>
      </c>
    </row>
    <row r="16" spans="1:2" x14ac:dyDescent="0.15">
      <c r="A16">
        <v>1912</v>
      </c>
      <c r="B16" s="56">
        <v>2012</v>
      </c>
    </row>
  </sheetData>
  <phoneticPr fontId="3"/>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
  <sheetViews>
    <sheetView workbookViewId="0"/>
  </sheetViews>
  <sheetFormatPr defaultRowHeight="13.5" x14ac:dyDescent="0.15"/>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W28"/>
  <sheetViews>
    <sheetView tabSelected="1" workbookViewId="0">
      <selection activeCell="D19" sqref="D19"/>
    </sheetView>
  </sheetViews>
  <sheetFormatPr defaultRowHeight="13.5" x14ac:dyDescent="0.15"/>
  <cols>
    <col min="1" max="1" width="3.5" customWidth="1"/>
    <col min="2" max="2" width="23" customWidth="1"/>
    <col min="3" max="3" width="11.625" customWidth="1"/>
    <col min="4" max="4" width="15.25" bestFit="1" customWidth="1"/>
    <col min="5" max="6" width="13.25" bestFit="1" customWidth="1"/>
    <col min="7" max="13" width="13.25" customWidth="1"/>
    <col min="14" max="14" width="13.25" bestFit="1" customWidth="1"/>
    <col min="15" max="16" width="13.25" customWidth="1"/>
    <col min="17" max="17" width="13.125" bestFit="1" customWidth="1"/>
    <col min="18" max="18" width="12.125" bestFit="1" customWidth="1"/>
    <col min="21" max="21" width="15.25" bestFit="1" customWidth="1"/>
  </cols>
  <sheetData>
    <row r="1" spans="1:23" ht="14.25" thickBot="1" x14ac:dyDescent="0.2"/>
    <row r="2" spans="1:23" ht="14.25" thickBot="1" x14ac:dyDescent="0.2">
      <c r="D2" s="34"/>
      <c r="E2" s="26">
        <v>202001</v>
      </c>
      <c r="F2" s="26">
        <v>202002</v>
      </c>
      <c r="G2" s="26">
        <v>202003</v>
      </c>
      <c r="H2" s="26">
        <v>202004</v>
      </c>
      <c r="I2" s="26">
        <v>202005</v>
      </c>
      <c r="J2" s="26">
        <v>202006</v>
      </c>
      <c r="K2" s="26">
        <v>202007</v>
      </c>
      <c r="L2" s="26">
        <v>202008</v>
      </c>
      <c r="M2" s="26">
        <v>202009</v>
      </c>
      <c r="N2" s="26">
        <v>202010</v>
      </c>
      <c r="O2" s="26">
        <v>202011</v>
      </c>
      <c r="P2" s="35">
        <v>202012</v>
      </c>
      <c r="Q2" s="45" t="s">
        <v>41</v>
      </c>
      <c r="R2" s="46" t="s">
        <v>43</v>
      </c>
      <c r="V2" t="s">
        <v>54</v>
      </c>
      <c r="W2" t="s">
        <v>56</v>
      </c>
    </row>
    <row r="3" spans="1:23" ht="14.25" thickTop="1" x14ac:dyDescent="0.15">
      <c r="A3">
        <v>1</v>
      </c>
      <c r="B3" t="s">
        <v>12</v>
      </c>
      <c r="D3" s="36" t="s">
        <v>138</v>
      </c>
      <c r="E3" s="24">
        <f>IFERROR(VLOOKUP($B3,'2001'!$C$1:$D$500,2,0), )</f>
        <v>0</v>
      </c>
      <c r="F3" s="24">
        <f>IFERROR(VLOOKUP($B3,'2002'!$C$1:$D$500,2,0),)</f>
        <v>0</v>
      </c>
      <c r="G3" s="24">
        <f>IFERROR(VLOOKUP($B3,'2003'!$C$1:$D$500,2,0),)</f>
        <v>0</v>
      </c>
      <c r="H3" s="24">
        <f>IFERROR(VLOOKUP($B3,'2004'!$C$1:$D$500,2,0),)</f>
        <v>0</v>
      </c>
      <c r="I3" s="24">
        <f>IFERROR(VLOOKUP($B3,'2005'!$C$1:$D$500,2,0),)</f>
        <v>0</v>
      </c>
      <c r="J3" s="24">
        <f>IFERROR(VLOOKUP($B3,'2006'!$C$1:$D$500,2,0),)</f>
        <v>-1000</v>
      </c>
      <c r="K3" s="24">
        <f>IFERROR(VLOOKUP($B3,'2007'!$C$1:$D$500,2,0),)</f>
        <v>0</v>
      </c>
      <c r="L3" s="24">
        <f>IFERROR(VLOOKUP($B3,'2008'!$C$1:$D$500,2,0),)</f>
        <v>0</v>
      </c>
      <c r="M3" s="24">
        <f>IFERROR(VLOOKUP($B3,'2009'!$C$1:$D$500,2,0),)</f>
        <v>0</v>
      </c>
      <c r="N3" s="24">
        <f>IFERROR(VLOOKUP($B3,'2010'!$C$1:$D$500,2,0),)</f>
        <v>0</v>
      </c>
      <c r="O3" s="24">
        <f>IFERROR(VLOOKUP($B3,'2011'!$C$1:$D$499,2,0),)</f>
        <v>0</v>
      </c>
      <c r="P3" s="32">
        <f>IFERROR(VLOOKUP($B3,'2012'!$C$1:$D$500,2,0),)</f>
        <v>0</v>
      </c>
      <c r="Q3" s="37">
        <f t="shared" ref="Q3:Q8" si="0">SUM(E3:P3)</f>
        <v>-1000</v>
      </c>
      <c r="R3" s="44">
        <f>AVERAGEIF(E3:P3,"&lt;0",E3:P3)</f>
        <v>-1000</v>
      </c>
      <c r="U3" t="s">
        <v>42</v>
      </c>
      <c r="V3" s="2">
        <f>SUM(E3:J3)</f>
        <v>-1000</v>
      </c>
      <c r="W3" s="7">
        <f>SUM(K3:P3)</f>
        <v>0</v>
      </c>
    </row>
    <row r="4" spans="1:23" x14ac:dyDescent="0.15">
      <c r="A4">
        <v>2</v>
      </c>
      <c r="B4" t="s">
        <v>44</v>
      </c>
      <c r="D4" s="36" t="s">
        <v>139</v>
      </c>
      <c r="E4" s="24">
        <f>IFERROR(VLOOKUP($B4,'2001'!$C$1:$D$500,2,0), )</f>
        <v>0</v>
      </c>
      <c r="F4" s="24">
        <f>IFERROR(VLOOKUP($B4,'2002'!$C$1:$D$500,2,0),)</f>
        <v>0</v>
      </c>
      <c r="G4" s="24">
        <f>IFERROR(VLOOKUP($B4,'2003'!$C$1:$D$500,2,0),)</f>
        <v>0</v>
      </c>
      <c r="H4" s="24">
        <f>IFERROR(VLOOKUP($B4,'2004'!$C$1:$D$500,2,0),)</f>
        <v>0</v>
      </c>
      <c r="I4" s="24">
        <f>IFERROR(VLOOKUP($B4,'2005'!$C$1:$D$500,2,0),)</f>
        <v>0</v>
      </c>
      <c r="J4" s="24">
        <f>IFERROR(VLOOKUP($B4,'2006'!$C$1:$D$500,2,0),)</f>
        <v>-1000</v>
      </c>
      <c r="K4" s="24">
        <f>IFERROR(VLOOKUP($B4,'2007'!$C$1:$D$500,2,0),)</f>
        <v>0</v>
      </c>
      <c r="L4" s="24">
        <f>IFERROR(VLOOKUP($B4,'2008'!$C$1:$D$500,2,0),)</f>
        <v>0</v>
      </c>
      <c r="M4" s="24">
        <f>IFERROR(VLOOKUP($B4,'2009'!$C$1:$D$500,2,0),)</f>
        <v>0</v>
      </c>
      <c r="N4" s="24">
        <f>IFERROR(VLOOKUP($B4,'2010'!$C$1:$D$500,2,0),)</f>
        <v>0</v>
      </c>
      <c r="O4" s="24">
        <f>IFERROR(VLOOKUP($B4,'2011'!$C$1:$D$499,2,0),)</f>
        <v>0</v>
      </c>
      <c r="P4" s="32">
        <f>IFERROR(VLOOKUP($B4,'2012'!$C$1:$D$500,2,0),)</f>
        <v>0</v>
      </c>
      <c r="Q4" s="37">
        <f t="shared" si="0"/>
        <v>-1000</v>
      </c>
      <c r="R4" s="44">
        <f t="shared" ref="R4:R8" si="1">AVERAGEIF(E4:P4,"&lt;0",E4:P4)</f>
        <v>-1000</v>
      </c>
      <c r="U4" t="s">
        <v>39</v>
      </c>
      <c r="V4" s="2">
        <f t="shared" ref="V4:V8" si="2">SUM(E4:J4)</f>
        <v>-1000</v>
      </c>
      <c r="W4" s="7">
        <f t="shared" ref="W4:W8" si="3">SUM(K4:P4)</f>
        <v>0</v>
      </c>
    </row>
    <row r="5" spans="1:23" x14ac:dyDescent="0.15">
      <c r="A5">
        <v>3</v>
      </c>
      <c r="B5" t="s">
        <v>37</v>
      </c>
      <c r="D5" s="36" t="s">
        <v>37</v>
      </c>
      <c r="E5" s="24">
        <f>IFERROR(VLOOKUP($B5,'2001'!$C$1:$D$500,2,0), )</f>
        <v>0</v>
      </c>
      <c r="F5" s="24">
        <f>IFERROR(VLOOKUP($B5,'2002'!$C$1:$D$500,2,0),)</f>
        <v>0</v>
      </c>
      <c r="G5" s="24">
        <f>IFERROR(VLOOKUP($B5,'2003'!$C$1:$D$500,2,0),)</f>
        <v>0</v>
      </c>
      <c r="H5" s="24">
        <f>IFERROR(VLOOKUP($B5,'2004'!$C$1:$D$500,2,0),)</f>
        <v>0</v>
      </c>
      <c r="I5" s="24">
        <f>IFERROR(VLOOKUP($B5,'2005'!$C$1:$D$500,2,0),)</f>
        <v>0</v>
      </c>
      <c r="J5" s="24">
        <f>IFERROR(VLOOKUP($B5,'2006'!$C$1:$D$500,2,0),)</f>
        <v>-1000</v>
      </c>
      <c r="K5" s="24">
        <f>IFERROR(VLOOKUP($B5,'2007'!$C$1:$D$500,2,0),)</f>
        <v>0</v>
      </c>
      <c r="L5" s="24">
        <f>IFERROR(VLOOKUP($B5,'2008'!$C$1:$D$500,2,0),)</f>
        <v>0</v>
      </c>
      <c r="M5" s="24">
        <f>IFERROR(VLOOKUP($B5,'2009'!$C$1:$D$500,2,0),)</f>
        <v>0</v>
      </c>
      <c r="N5" s="24">
        <f>IFERROR(VLOOKUP($B5,'2010'!$C$1:$D$500,2,0),)</f>
        <v>0</v>
      </c>
      <c r="O5" s="24">
        <f>IFERROR(VLOOKUP($B5,'2011'!$C$1:$D$499,2,0),)</f>
        <v>0</v>
      </c>
      <c r="P5" s="32">
        <f>IFERROR(VLOOKUP($B5,'2012'!$C$1:$D$500,2,0),)</f>
        <v>0</v>
      </c>
      <c r="Q5" s="37">
        <f t="shared" si="0"/>
        <v>-1000</v>
      </c>
      <c r="R5" s="44">
        <f>AVERAGEIF(E5:P5,"&lt;0",E5:P5)/2</f>
        <v>-500</v>
      </c>
      <c r="U5" t="s">
        <v>37</v>
      </c>
      <c r="V5" s="2">
        <f t="shared" si="2"/>
        <v>-1000</v>
      </c>
      <c r="W5" s="7">
        <f t="shared" si="3"/>
        <v>0</v>
      </c>
    </row>
    <row r="6" spans="1:23" x14ac:dyDescent="0.15">
      <c r="A6">
        <v>4</v>
      </c>
      <c r="B6" t="s">
        <v>178</v>
      </c>
      <c r="D6" s="36" t="s">
        <v>40</v>
      </c>
      <c r="E6" s="24">
        <f>IFERROR(VLOOKUP($B6,'2001'!$C$1:$D$500,2,0), )</f>
        <v>0</v>
      </c>
      <c r="F6" s="24">
        <f>IFERROR(VLOOKUP($B6,'2002'!$C$1:$D$500,2,0),)</f>
        <v>0</v>
      </c>
      <c r="G6" s="24">
        <f>IFERROR(VLOOKUP($B6,'2003'!$C$1:$D$500,2,0),)</f>
        <v>0</v>
      </c>
      <c r="H6" s="24">
        <f>IFERROR(VLOOKUP($B6,'2004'!$C$1:$D$500,2,0),)</f>
        <v>0</v>
      </c>
      <c r="I6" s="24">
        <f>IFERROR(VLOOKUP($B6,'2005'!$C$1:$D$500,2,0),)</f>
        <v>0</v>
      </c>
      <c r="J6" s="24">
        <f>IFERROR(VLOOKUP($B6,'2006'!$C$1:$D$500,2,0),)</f>
        <v>-1000</v>
      </c>
      <c r="K6" s="24">
        <f>IFERROR(VLOOKUP($B6,'2007'!$C$1:$D$500,2,0),)</f>
        <v>0</v>
      </c>
      <c r="L6" s="24">
        <f>IFERROR(VLOOKUP($B6,'2008'!$C$1:$D$500,2,0),)</f>
        <v>0</v>
      </c>
      <c r="M6" s="24">
        <f>IFERROR(VLOOKUP($B6,'2009'!$C$1:$D$500,2,0),)</f>
        <v>0</v>
      </c>
      <c r="N6" s="24">
        <f>IFERROR(VLOOKUP($B6,'2010'!$C$1:$D$500,2,0),)</f>
        <v>0</v>
      </c>
      <c r="O6" s="24">
        <f>IFERROR(VLOOKUP($B6,'2011'!$C$1:$D$499,2,0),)</f>
        <v>0</v>
      </c>
      <c r="P6" s="32">
        <f>IFERROR(VLOOKUP($B6,'2012'!$C$1:$D$500,2,0),)</f>
        <v>0</v>
      </c>
      <c r="Q6" s="37">
        <f t="shared" si="0"/>
        <v>-1000</v>
      </c>
      <c r="R6" s="44">
        <f t="shared" si="1"/>
        <v>-1000</v>
      </c>
      <c r="U6" t="s">
        <v>23</v>
      </c>
      <c r="V6" s="2">
        <f t="shared" si="2"/>
        <v>-1000</v>
      </c>
      <c r="W6" s="7">
        <f t="shared" si="3"/>
        <v>0</v>
      </c>
    </row>
    <row r="7" spans="1:23" x14ac:dyDescent="0.15">
      <c r="A7">
        <v>5</v>
      </c>
      <c r="B7" s="76" t="s">
        <v>140</v>
      </c>
      <c r="D7" s="38" t="s">
        <v>0</v>
      </c>
      <c r="E7" s="25">
        <f>IFERROR(VLOOKUP($B7,'2001'!$C$1:$D$500,2,0), )</f>
        <v>0</v>
      </c>
      <c r="F7" s="25">
        <f>IFERROR(VLOOKUP($B7,'2002'!$C$1:$D$500,2,0),)</f>
        <v>0</v>
      </c>
      <c r="G7" s="25">
        <f>IFERROR(VLOOKUP($B7,'2003'!$C$1:$D$500,2,0),)</f>
        <v>0</v>
      </c>
      <c r="H7" s="25">
        <f>IFERROR(VLOOKUP($B7,'2004'!$C$1:$D$500,2,0),)</f>
        <v>0</v>
      </c>
      <c r="I7" s="25">
        <f>IFERROR(VLOOKUP($B7,'2005'!$C$1:$D$500,2,0),)</f>
        <v>0</v>
      </c>
      <c r="J7" s="25">
        <f>IFERROR(VLOOKUP($B7,'2006'!$C$1:$D$500,2,0),)</f>
        <v>-55000</v>
      </c>
      <c r="K7" s="25">
        <f>IFERROR(VLOOKUP($B7,'2007'!$C$1:$D$500,2,0),)</f>
        <v>0</v>
      </c>
      <c r="L7" s="25">
        <f>IFERROR(VLOOKUP($B7,'2008'!$C$1:$D$500,2,0),)</f>
        <v>0</v>
      </c>
      <c r="M7" s="25">
        <f>IFERROR(VLOOKUP($B7,'2009'!$C$1:$D$500,2,0),)</f>
        <v>0</v>
      </c>
      <c r="N7" s="25">
        <f>IFERROR(VLOOKUP($B7,'2010'!$C$1:$D$500,2,0),)</f>
        <v>0</v>
      </c>
      <c r="O7" s="25">
        <f>IFERROR(VLOOKUP($B7,'2011'!$C$1:$D$499,2,0),)</f>
        <v>0</v>
      </c>
      <c r="P7" s="31">
        <f>IFERROR(VLOOKUP($B7,'2012'!$C$1:$D$500,2,0),)</f>
        <v>0</v>
      </c>
      <c r="Q7" s="39">
        <f>SUM(E7:P7)</f>
        <v>-55000</v>
      </c>
      <c r="R7" s="44">
        <f t="shared" si="1"/>
        <v>-55000</v>
      </c>
      <c r="U7" t="s">
        <v>0</v>
      </c>
      <c r="V7" s="2">
        <f t="shared" si="2"/>
        <v>-55000</v>
      </c>
      <c r="W7" s="7">
        <f t="shared" si="3"/>
        <v>0</v>
      </c>
    </row>
    <row r="8" spans="1:23" ht="14.25" thickBot="1" x14ac:dyDescent="0.2">
      <c r="A8">
        <v>6</v>
      </c>
      <c r="B8" t="s">
        <v>20</v>
      </c>
      <c r="D8" s="40" t="s">
        <v>20</v>
      </c>
      <c r="E8" s="27">
        <f>IFERROR(VLOOKUP($B8,'2001'!$C$1:$D$500,2,0), )</f>
        <v>0</v>
      </c>
      <c r="F8" s="27">
        <f>IFERROR(VLOOKUP($B8,'2002'!$C$1:$D$500,2,0),)</f>
        <v>0</v>
      </c>
      <c r="G8" s="27">
        <f>IFERROR(VLOOKUP($B8,'2003'!$C$1:$D$500,2,0),)</f>
        <v>0</v>
      </c>
      <c r="H8" s="27">
        <f>IFERROR(VLOOKUP($B8,'2004'!$C$1:$D$500,2,0),)</f>
        <v>0</v>
      </c>
      <c r="I8" s="27">
        <f>IFERROR(VLOOKUP($B8,'2005'!$C$1:$D$500,2,0),)</f>
        <v>0</v>
      </c>
      <c r="J8" s="27">
        <f>IFERROR(VLOOKUP($B8,'2006'!$C$1:$D$500,2,0),)</f>
        <v>-500</v>
      </c>
      <c r="K8" s="27">
        <f>IFERROR(VLOOKUP($B8,'2007'!$C$1:$D$500,2,0),)</f>
        <v>0</v>
      </c>
      <c r="L8" s="27">
        <f>IFERROR(VLOOKUP($B8,'2008'!$C$1:$D$500,2,0),)</f>
        <v>0</v>
      </c>
      <c r="M8" s="27">
        <f>IFERROR(VLOOKUP($B8,'2009'!$C$1:$D$500,2,0),)</f>
        <v>0</v>
      </c>
      <c r="N8" s="27">
        <f>IFERROR(VLOOKUP($B8,'2010'!$C$1:$D$500,2,0),)</f>
        <v>0</v>
      </c>
      <c r="O8" s="27">
        <f>IFERROR(VLOOKUP($B8,'2011'!$C$1:$D$499,2,0),)</f>
        <v>0</v>
      </c>
      <c r="P8" s="33">
        <f>IFERROR(VLOOKUP($B8,'2012'!$C$1:$D$500,2,0),)</f>
        <v>0</v>
      </c>
      <c r="Q8" s="41">
        <f t="shared" si="0"/>
        <v>-500</v>
      </c>
      <c r="R8" s="44">
        <f t="shared" si="1"/>
        <v>-500</v>
      </c>
      <c r="U8" t="s">
        <v>53</v>
      </c>
      <c r="V8" s="2">
        <f t="shared" si="2"/>
        <v>-500</v>
      </c>
      <c r="W8" s="7">
        <f t="shared" si="3"/>
        <v>0</v>
      </c>
    </row>
    <row r="9" spans="1:23" ht="15" thickTop="1" thickBot="1" x14ac:dyDescent="0.2">
      <c r="D9" s="28" t="s">
        <v>41</v>
      </c>
      <c r="E9" s="29">
        <f t="shared" ref="E9:R9" si="4">SUM(E3:E8)</f>
        <v>0</v>
      </c>
      <c r="F9" s="29">
        <f t="shared" si="4"/>
        <v>0</v>
      </c>
      <c r="G9" s="29">
        <f t="shared" si="4"/>
        <v>0</v>
      </c>
      <c r="H9" s="29">
        <f t="shared" si="4"/>
        <v>0</v>
      </c>
      <c r="I9" s="29">
        <f t="shared" si="4"/>
        <v>0</v>
      </c>
      <c r="J9" s="29">
        <f t="shared" si="4"/>
        <v>-59500</v>
      </c>
      <c r="K9" s="29">
        <f t="shared" si="4"/>
        <v>0</v>
      </c>
      <c r="L9" s="29">
        <f t="shared" si="4"/>
        <v>0</v>
      </c>
      <c r="M9" s="29">
        <f t="shared" si="4"/>
        <v>0</v>
      </c>
      <c r="N9" s="29">
        <f t="shared" si="4"/>
        <v>0</v>
      </c>
      <c r="O9" s="29">
        <f t="shared" si="4"/>
        <v>0</v>
      </c>
      <c r="P9" s="42">
        <f t="shared" si="4"/>
        <v>0</v>
      </c>
      <c r="Q9" s="43">
        <f t="shared" si="4"/>
        <v>-59500</v>
      </c>
      <c r="R9" s="7">
        <f t="shared" si="4"/>
        <v>-59000</v>
      </c>
      <c r="U9" t="s">
        <v>69</v>
      </c>
      <c r="V9" s="2">
        <f>SUM(V3:V8)</f>
        <v>-59500</v>
      </c>
      <c r="W9" s="7">
        <f>SUM(W3:W8)</f>
        <v>0</v>
      </c>
    </row>
    <row r="10" spans="1:23" x14ac:dyDescent="0.15">
      <c r="D10" s="48"/>
      <c r="E10" s="30"/>
      <c r="F10" s="30"/>
      <c r="G10" s="30"/>
      <c r="H10" s="30"/>
      <c r="I10" s="30"/>
      <c r="J10" s="30"/>
      <c r="K10" s="30"/>
      <c r="L10" s="30"/>
      <c r="M10" s="30"/>
      <c r="N10" s="30"/>
      <c r="O10" s="30"/>
      <c r="P10" s="30"/>
      <c r="Q10" s="30"/>
      <c r="R10" s="7"/>
    </row>
    <row r="11" spans="1:23" x14ac:dyDescent="0.15">
      <c r="B11" t="s">
        <v>45</v>
      </c>
      <c r="D11" s="48" t="s">
        <v>45</v>
      </c>
      <c r="E11" s="30">
        <f>IFERROR(VLOOKUP($B11,'2001'!$C$1:$D$500,2,0), )</f>
        <v>0</v>
      </c>
      <c r="F11" s="30">
        <f>IFERROR(VLOOKUP($B11,'2002'!$C$1:$D$500,2,0),)</f>
        <v>0</v>
      </c>
      <c r="G11" s="30">
        <f>IFERROR(VLOOKUP($B11,'2003'!$C$1:$D$500,2,0),)</f>
        <v>0</v>
      </c>
      <c r="H11" s="30">
        <f>IFERROR(VLOOKUP($B11,'2004'!$C$1:$D$500,2,0),)</f>
        <v>0</v>
      </c>
      <c r="I11" s="30">
        <f>IFERROR(VLOOKUP($B11,'2005'!$C$1:$D$500,2,0),)</f>
        <v>0</v>
      </c>
      <c r="J11" s="30">
        <f>IFERROR(VLOOKUP($B11,'2006'!$C$1:$D$500,2,0),)</f>
        <v>-44013</v>
      </c>
      <c r="K11" s="30">
        <f>IFERROR(VLOOKUP($B11,'2007'!$C$1:$D$500,2,0),)</f>
        <v>0</v>
      </c>
      <c r="L11" s="30">
        <f>IFERROR(VLOOKUP($B11,'2008'!$C$1:$D$500,2,0),)</f>
        <v>0</v>
      </c>
      <c r="M11" s="30">
        <f>IFERROR(VLOOKUP($B11,'2009'!$C$1:$D$500,2,0),)</f>
        <v>0</v>
      </c>
      <c r="N11" s="30">
        <f>IFERROR(VLOOKUP($B11,'2010'!$C$1:$D$500,2,0),)</f>
        <v>0</v>
      </c>
      <c r="O11" s="30">
        <f>IFERROR(VLOOKUP($B11,'2011'!$C$1:$D$499,2,0),)</f>
        <v>0</v>
      </c>
      <c r="P11" s="30">
        <f>IFERROR(VLOOKUP($B11,'2012'!$C$1:$D$500,2,0),)</f>
        <v>0</v>
      </c>
      <c r="Q11" s="30">
        <f>SUM(E11:P11)</f>
        <v>-44013</v>
      </c>
      <c r="R11" s="7"/>
    </row>
    <row r="12" spans="1:23" x14ac:dyDescent="0.15">
      <c r="B12" t="s">
        <v>47</v>
      </c>
      <c r="D12" s="5" t="s">
        <v>47</v>
      </c>
      <c r="E12" s="30">
        <f>IFERROR(VLOOKUP($B12,'2001'!$C$1:$D$500,2,0), )</f>
        <v>0</v>
      </c>
      <c r="F12" s="30">
        <f>IFERROR(VLOOKUP($B12,'2002'!$C$1:$D$500,2,0),)</f>
        <v>0</v>
      </c>
      <c r="G12" s="30">
        <f>IFERROR(VLOOKUP($B12,'2003'!$C$1:$D$500,2,0),)</f>
        <v>0</v>
      </c>
      <c r="H12" s="30">
        <f>IFERROR(VLOOKUP($B12,'2004'!$C$1:$D$500,2,0),)</f>
        <v>0</v>
      </c>
      <c r="I12" s="30">
        <f>IFERROR(VLOOKUP($B12,'2005'!$C$1:$D$500,2,0),)</f>
        <v>0</v>
      </c>
      <c r="J12" s="30">
        <f>IFERROR(VLOOKUP($B12,'2006'!$C$1:$D$500,2,0),)</f>
        <v>-59500</v>
      </c>
      <c r="K12" s="30">
        <f>IFERROR(VLOOKUP($B12,'2007'!$C$1:$D$500,2,0),)</f>
        <v>0</v>
      </c>
      <c r="L12" s="30">
        <f>IFERROR(VLOOKUP($B12,'2008'!$C$1:$D$500,2,0),)</f>
        <v>0</v>
      </c>
      <c r="M12" s="30">
        <f>IFERROR(VLOOKUP($B12,'2009'!$C$1:$D$500,2,0),)</f>
        <v>0</v>
      </c>
      <c r="N12" s="30">
        <f>IFERROR(VLOOKUP($B12,'2010'!$C$1:$D$500,2,0),)</f>
        <v>0</v>
      </c>
      <c r="O12" s="30">
        <f>IFERROR(VLOOKUP($B12,'2011'!$C$1:$D$499,2,0),)</f>
        <v>0</v>
      </c>
      <c r="P12" s="30">
        <f>IFERROR(VLOOKUP($B12,'2012'!$C$1:$D$500,2,0),)</f>
        <v>0</v>
      </c>
      <c r="Q12" s="30">
        <f>SUM(E12:P12)</f>
        <v>-59500</v>
      </c>
    </row>
    <row r="13" spans="1:23" ht="14.25" thickBot="1" x14ac:dyDescent="0.2">
      <c r="B13" t="s">
        <v>48</v>
      </c>
      <c r="D13" s="14" t="s">
        <v>48</v>
      </c>
      <c r="E13" s="49">
        <f>IFERROR(VLOOKUP($B13,'2001'!$C$1:$D$500,2,0), )</f>
        <v>0</v>
      </c>
      <c r="F13" s="49">
        <f>IFERROR(VLOOKUP($B13,'2002'!$C$1:$D$500,2,0),)</f>
        <v>0</v>
      </c>
      <c r="G13" s="49">
        <f>IFERROR(VLOOKUP($B13,'2003'!$C$1:$D$500,2,0),)</f>
        <v>0</v>
      </c>
      <c r="H13" s="49">
        <f>IFERROR(VLOOKUP($B13,'2004'!$C$1:$D$500,2,0),)</f>
        <v>0</v>
      </c>
      <c r="I13" s="49">
        <f>IFERROR(VLOOKUP($B13,'2005'!$C$1:$D$500,2,0),)</f>
        <v>0</v>
      </c>
      <c r="J13" s="49">
        <f>IFERROR(VLOOKUP($B13,'2006'!$C$1:$D$500,2,0),)</f>
        <v>0</v>
      </c>
      <c r="K13" s="49">
        <f>IFERROR(VLOOKUP($B13,'2007'!$C$1:$D$500,2,0),)</f>
        <v>0</v>
      </c>
      <c r="L13" s="49">
        <f>IFERROR(VLOOKUP($B13,'2008'!$C$1:$D$500,2,0),)</f>
        <v>0</v>
      </c>
      <c r="M13" s="49">
        <f>IFERROR(VLOOKUP($B13,'2009'!$C$1:$D$500,2,0),)</f>
        <v>0</v>
      </c>
      <c r="N13" s="49">
        <f>IFERROR(VLOOKUP($B13,'2010'!$C$1:$D$500,2,0),)</f>
        <v>0</v>
      </c>
      <c r="O13" s="49">
        <f>IFERROR(VLOOKUP($B13,'2011'!$C$1:$D$499,2,0),)</f>
        <v>0</v>
      </c>
      <c r="P13" s="49">
        <f>IFERROR(VLOOKUP($B13,'2012'!$C$1:$D$500,2,0),)</f>
        <v>0</v>
      </c>
      <c r="Q13" s="14"/>
    </row>
    <row r="14" spans="1:23" ht="14.25" thickTop="1" x14ac:dyDescent="0.15">
      <c r="B14" t="s">
        <v>33</v>
      </c>
      <c r="D14" s="5" t="s">
        <v>33</v>
      </c>
      <c r="E14" s="50">
        <f>IFERROR(VLOOKUP($B14,'2001'!$C$1:$D$500,2,0), )</f>
        <v>0</v>
      </c>
      <c r="F14" s="50">
        <f>IFERROR(VLOOKUP($B14,'2002'!$C$1:$D$500,2,0),)</f>
        <v>0</v>
      </c>
      <c r="G14" s="50">
        <f>IFERROR(VLOOKUP($B14,'2003'!$C$1:$D$500,2,0),)</f>
        <v>0</v>
      </c>
      <c r="H14" s="50">
        <f>IFERROR(VLOOKUP($B14,'2004'!$C$1:$D$500,2,0),)</f>
        <v>0</v>
      </c>
      <c r="I14" s="50">
        <f>IFERROR(VLOOKUP($B14,'2005'!$C$1:$D$500,2,0),)</f>
        <v>0</v>
      </c>
      <c r="J14" s="50">
        <f>IFERROR(VLOOKUP($B14,'2006'!$C$1:$D$500,2,0),)</f>
        <v>-103513</v>
      </c>
      <c r="K14" s="50">
        <f>IFERROR(VLOOKUP($B14,'2007'!$C$1:$D$500,2,0),)</f>
        <v>0</v>
      </c>
      <c r="L14" s="50">
        <f>IFERROR(VLOOKUP($B14,'2008'!$C$1:$D$500,2,0),)</f>
        <v>0</v>
      </c>
      <c r="M14" s="50">
        <f>IFERROR(VLOOKUP($B14,'2009'!$C$1:$D$500,2,0),)</f>
        <v>0</v>
      </c>
      <c r="N14" s="50">
        <f>IFERROR(VLOOKUP($B14,'2010'!$C$1:$D$500,2,0),)</f>
        <v>0</v>
      </c>
      <c r="O14" s="50">
        <f>IFERROR(VLOOKUP($B14,'2011'!$C$1:$D$499,2,0),)</f>
        <v>0</v>
      </c>
      <c r="P14" s="50">
        <f>IFERROR(VLOOKUP($B14,'2012'!$C$1:$D$500,2,0),)</f>
        <v>0</v>
      </c>
      <c r="Q14" s="51">
        <f>SUM(E14:P14)</f>
        <v>-103513</v>
      </c>
      <c r="R14" s="52">
        <f t="shared" ref="R14" si="5">AVERAGEIF(E14:P14,"&lt;0",E14:P14)</f>
        <v>-103513</v>
      </c>
    </row>
    <row r="15" spans="1:23" x14ac:dyDescent="0.15">
      <c r="D15" s="5"/>
      <c r="E15" s="30"/>
      <c r="F15" s="30"/>
      <c r="G15" s="30"/>
      <c r="H15" s="30"/>
      <c r="I15" s="30"/>
      <c r="J15" s="30"/>
      <c r="K15" s="30"/>
      <c r="L15" s="30"/>
      <c r="M15" s="30"/>
      <c r="N15" s="30"/>
      <c r="O15" s="30"/>
      <c r="P15" s="30"/>
      <c r="Q15" s="5"/>
    </row>
    <row r="16" spans="1:23" x14ac:dyDescent="0.15">
      <c r="B16" t="s">
        <v>50</v>
      </c>
      <c r="D16" s="48" t="s">
        <v>50</v>
      </c>
      <c r="E16" s="54">
        <f>IFERROR(VLOOKUP($B16,'2001'!$C$1:$D$500,2,0), )</f>
        <v>0</v>
      </c>
      <c r="F16" s="54">
        <f>IFERROR(VLOOKUP($B16,'2002'!$C$1:$D$500,2,0),)</f>
        <v>0</v>
      </c>
      <c r="G16" s="54">
        <f>IFERROR(VLOOKUP($B16,'2003'!$C$1:$D$500,2,0),)</f>
        <v>0</v>
      </c>
      <c r="H16" s="54">
        <f>IFERROR(VLOOKUP($B16,'2004'!$C$1:$D$500,2,0),)</f>
        <v>0</v>
      </c>
      <c r="I16" s="54">
        <f>IFERROR(VLOOKUP($B16,'2005'!$C$1:$D$500,2,0),)</f>
        <v>0</v>
      </c>
      <c r="J16" s="54">
        <f>IFERROR(VLOOKUP($B16,'2006'!$C$1:$D$500,2,0),)</f>
        <v>5096587</v>
      </c>
      <c r="K16" s="54">
        <f>IFERROR(VLOOKUP($B16,'2007'!$C$1:$D$500,2,0),)</f>
        <v>0</v>
      </c>
      <c r="L16" s="54">
        <f>IFERROR(VLOOKUP($B16,'2008'!$C$1:$D$500,2,0),)</f>
        <v>0</v>
      </c>
      <c r="M16" s="54">
        <f>IFERROR(VLOOKUP($B16,'2009'!$C$1:$D$500,2,0),)</f>
        <v>0</v>
      </c>
      <c r="N16" s="54">
        <f>IFERROR(VLOOKUP($B16,'2010'!$C$1:$D$500,2,0),)</f>
        <v>0</v>
      </c>
      <c r="O16" s="54">
        <f>IFERROR(VLOOKUP($B16,'2011'!$C$1:$D$499,2,0),)</f>
        <v>0</v>
      </c>
      <c r="P16" s="54">
        <f>IFERROR(VLOOKUP($B16,'2012'!$C$1:$D$500,2,0),)</f>
        <v>0</v>
      </c>
      <c r="Q16" s="5"/>
    </row>
    <row r="17" spans="3:17" x14ac:dyDescent="0.15">
      <c r="D17" s="48" t="s">
        <v>51</v>
      </c>
      <c r="E17" s="55">
        <f>E16-D19</f>
        <v>0</v>
      </c>
      <c r="F17" s="55">
        <f t="shared" ref="F17:I17" si="6">IF(F16=0,0,F16-E16)</f>
        <v>0</v>
      </c>
      <c r="G17" s="55">
        <f t="shared" si="6"/>
        <v>0</v>
      </c>
      <c r="H17" s="55">
        <f t="shared" si="6"/>
        <v>0</v>
      </c>
      <c r="I17" s="55">
        <f t="shared" si="6"/>
        <v>0</v>
      </c>
      <c r="J17" s="55">
        <f>IF(J16=0,0,J16-I16)</f>
        <v>5096587</v>
      </c>
      <c r="K17" s="55">
        <f t="shared" ref="K17:P17" si="7">IF(K16=0,0,K16-J16)</f>
        <v>0</v>
      </c>
      <c r="L17" s="55">
        <f t="shared" si="7"/>
        <v>0</v>
      </c>
      <c r="M17" s="55">
        <f t="shared" si="7"/>
        <v>0</v>
      </c>
      <c r="N17" s="55">
        <f t="shared" si="7"/>
        <v>0</v>
      </c>
      <c r="O17" s="55">
        <f t="shared" si="7"/>
        <v>0</v>
      </c>
      <c r="P17" s="55">
        <f t="shared" si="7"/>
        <v>0</v>
      </c>
      <c r="Q17" s="57">
        <f>SUM(E17:P17)</f>
        <v>5096587</v>
      </c>
    </row>
    <row r="18" spans="3:17" ht="14.25" thickBot="1" x14ac:dyDescent="0.2">
      <c r="D18" s="5"/>
      <c r="E18" s="30"/>
      <c r="F18" s="30"/>
      <c r="G18" s="30"/>
      <c r="H18" s="30"/>
      <c r="I18" s="30"/>
      <c r="J18" s="30"/>
      <c r="K18" s="30"/>
      <c r="L18" s="30"/>
      <c r="M18" s="30"/>
      <c r="N18" s="30"/>
      <c r="O18" s="30"/>
      <c r="P18" s="30"/>
      <c r="Q18" s="5"/>
    </row>
    <row r="19" spans="3:17" ht="15" thickBot="1" x14ac:dyDescent="0.2">
      <c r="C19" s="82" t="s">
        <v>226</v>
      </c>
      <c r="D19" s="83"/>
      <c r="E19" s="30"/>
      <c r="F19" s="30"/>
      <c r="G19" s="30"/>
      <c r="H19" s="30"/>
      <c r="I19" s="30"/>
      <c r="J19" s="30"/>
      <c r="K19" s="30"/>
      <c r="L19" s="30"/>
      <c r="M19" s="30"/>
      <c r="N19" s="30"/>
      <c r="O19" s="30"/>
      <c r="P19" s="30"/>
      <c r="Q19" s="5"/>
    </row>
    <row r="20" spans="3:17" x14ac:dyDescent="0.15">
      <c r="D20" s="47"/>
      <c r="E20" s="30"/>
      <c r="F20" s="30"/>
      <c r="G20" s="30"/>
      <c r="H20" s="30"/>
      <c r="I20" s="30"/>
      <c r="J20" s="30"/>
      <c r="K20" s="30"/>
      <c r="L20" s="30"/>
      <c r="M20" s="30"/>
      <c r="N20" s="30"/>
      <c r="O20" s="30"/>
      <c r="P20" s="30"/>
      <c r="Q20" s="30"/>
    </row>
    <row r="21" spans="3:17" x14ac:dyDescent="0.15">
      <c r="D21" s="47"/>
      <c r="E21" s="30"/>
      <c r="F21" s="30"/>
      <c r="G21" s="30"/>
      <c r="H21" s="30"/>
      <c r="I21" s="30"/>
      <c r="J21" s="30"/>
      <c r="K21" s="30"/>
      <c r="L21" s="30"/>
      <c r="M21" s="30"/>
      <c r="N21" s="30"/>
      <c r="O21" s="30"/>
      <c r="P21" s="30"/>
      <c r="Q21" s="30"/>
    </row>
    <row r="22" spans="3:17" x14ac:dyDescent="0.15">
      <c r="D22" s="47"/>
      <c r="G22" s="30"/>
    </row>
    <row r="23" spans="3:17" x14ac:dyDescent="0.15">
      <c r="G23" s="3"/>
    </row>
    <row r="28" spans="3:17" x14ac:dyDescent="0.15">
      <c r="H28" s="2"/>
    </row>
  </sheetData>
  <phoneticPr fontId="3"/>
  <pageMargins left="0.7" right="0.7" top="0.75" bottom="0.75" header="0.3" footer="0.3"/>
  <pageSetup paperSize="9" orientation="portrait" horizontalDpi="0" verticalDpi="0" r:id="rId1"/>
  <ignoredErrors>
    <ignoredError sqref="R5"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
  <sheetViews>
    <sheetView workbookViewId="0"/>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16"/>
  <sheetViews>
    <sheetView workbookViewId="0">
      <selection activeCell="D88" sqref="D88:E90"/>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6" spans="1:8" x14ac:dyDescent="0.15">
      <c r="A6" s="22"/>
      <c r="C6" s="6"/>
      <c r="D6" s="59"/>
      <c r="E6" s="1"/>
      <c r="H6" s="22"/>
    </row>
    <row r="7" spans="1:8" x14ac:dyDescent="0.15">
      <c r="A7" s="22"/>
      <c r="D7" s="59"/>
      <c r="E7" s="6"/>
    </row>
    <row r="9" spans="1:8" x14ac:dyDescent="0.15">
      <c r="D9" s="59"/>
      <c r="H9" s="22"/>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H14" s="22"/>
    </row>
    <row r="15" spans="1:8" x14ac:dyDescent="0.15">
      <c r="D15" s="59"/>
      <c r="H15" s="22"/>
    </row>
    <row r="16" spans="1:8" x14ac:dyDescent="0.15">
      <c r="D16" s="59"/>
      <c r="H16" s="22"/>
    </row>
    <row r="17" spans="1:8" x14ac:dyDescent="0.15">
      <c r="D17" s="59"/>
      <c r="H17" s="22"/>
    </row>
    <row r="18" spans="1:8" x14ac:dyDescent="0.15">
      <c r="D18" s="59"/>
      <c r="H18" s="22"/>
    </row>
    <row r="19" spans="1:8" x14ac:dyDescent="0.15">
      <c r="H19" s="22"/>
    </row>
    <row r="21" spans="1:8" x14ac:dyDescent="0.15">
      <c r="D21" s="59"/>
      <c r="H21" s="22"/>
    </row>
    <row r="22" spans="1:8" x14ac:dyDescent="0.15">
      <c r="D22" s="59"/>
      <c r="H22" s="22"/>
    </row>
    <row r="23" spans="1:8" x14ac:dyDescent="0.15">
      <c r="D23" s="59"/>
      <c r="H23" s="22"/>
    </row>
    <row r="24" spans="1:8" x14ac:dyDescent="0.15">
      <c r="A24" s="22"/>
      <c r="C24" s="6"/>
      <c r="D24" s="59"/>
      <c r="E24" s="1"/>
      <c r="H24" s="22"/>
    </row>
    <row r="25" spans="1:8" x14ac:dyDescent="0.15">
      <c r="D25" s="59"/>
      <c r="H25" s="22"/>
    </row>
    <row r="26" spans="1:8" x14ac:dyDescent="0.15">
      <c r="D26" s="59"/>
      <c r="H26" s="22"/>
    </row>
    <row r="27" spans="1:8" x14ac:dyDescent="0.15">
      <c r="E27" s="1"/>
    </row>
    <row r="28" spans="1:8" x14ac:dyDescent="0.15">
      <c r="E28" s="1"/>
    </row>
    <row r="29" spans="1:8" ht="14.25" thickBot="1" x14ac:dyDescent="0.2"/>
    <row r="30" spans="1:8" ht="14.25" thickBot="1" x14ac:dyDescent="0.2">
      <c r="C30" s="4"/>
      <c r="D30" s="69">
        <f>SUM(D4:D28)</f>
        <v>0</v>
      </c>
      <c r="E30" t="s">
        <v>28</v>
      </c>
    </row>
    <row r="31" spans="1:8" x14ac:dyDescent="0.15">
      <c r="C31" s="4"/>
    </row>
    <row r="32" spans="1:8" x14ac:dyDescent="0.15">
      <c r="C32" s="4"/>
    </row>
    <row r="33" spans="1:8" x14ac:dyDescent="0.15">
      <c r="C33" s="4"/>
    </row>
    <row r="35" spans="1:8" x14ac:dyDescent="0.15">
      <c r="C35" s="4"/>
    </row>
    <row r="36" spans="1:8" ht="17.25" x14ac:dyDescent="0.15">
      <c r="A36" s="12" t="s">
        <v>25</v>
      </c>
      <c r="C36" s="4"/>
    </row>
    <row r="37" spans="1:8" ht="13.5" customHeight="1" x14ac:dyDescent="0.15">
      <c r="A37" s="12"/>
      <c r="B37" s="67" t="s">
        <v>6</v>
      </c>
      <c r="C37" s="4" t="s">
        <v>5</v>
      </c>
      <c r="D37" s="2" t="s">
        <v>4</v>
      </c>
      <c r="E37" t="s">
        <v>3</v>
      </c>
      <c r="F37" t="s">
        <v>9</v>
      </c>
      <c r="G37" t="s">
        <v>10</v>
      </c>
      <c r="H37" t="s">
        <v>11</v>
      </c>
    </row>
    <row r="38" spans="1:8" ht="13.5" customHeight="1" x14ac:dyDescent="0.15">
      <c r="D38" s="59"/>
      <c r="H38" s="22"/>
    </row>
    <row r="39" spans="1:8" ht="13.5" customHeight="1" x14ac:dyDescent="0.15"/>
    <row r="40" spans="1:8" ht="13.5" customHeight="1" x14ac:dyDescent="0.15"/>
    <row r="41" spans="1:8" ht="13.5" customHeight="1" x14ac:dyDescent="0.15"/>
    <row r="42" spans="1:8" ht="13.5" customHeight="1" x14ac:dyDescent="0.15">
      <c r="D42" s="59"/>
      <c r="H42" s="22"/>
    </row>
    <row r="43" spans="1:8" ht="13.5" customHeight="1" x14ac:dyDescent="0.15">
      <c r="D43" s="59"/>
      <c r="H43" s="22"/>
    </row>
    <row r="46" spans="1:8" ht="14.25" thickBot="1" x14ac:dyDescent="0.2">
      <c r="E46" s="6"/>
      <c r="F46" s="7"/>
      <c r="G46" s="7"/>
      <c r="H46" s="7"/>
    </row>
    <row r="47" spans="1:8" ht="14.25" thickBot="1" x14ac:dyDescent="0.2">
      <c r="C47" s="4"/>
      <c r="D47" s="69">
        <f>SUM(D38:D46)</f>
        <v>0</v>
      </c>
      <c r="E47" t="s">
        <v>29</v>
      </c>
    </row>
    <row r="48" spans="1:8" x14ac:dyDescent="0.15">
      <c r="C48" s="4"/>
    </row>
    <row r="50" spans="1:8" x14ac:dyDescent="0.15">
      <c r="C50" s="4"/>
    </row>
    <row r="51" spans="1:8" ht="17.25" x14ac:dyDescent="0.15">
      <c r="A51" s="12" t="s">
        <v>27</v>
      </c>
      <c r="C51" s="4"/>
    </row>
    <row r="52" spans="1:8" ht="13.5" customHeight="1" x14ac:dyDescent="0.15">
      <c r="A52" s="12"/>
      <c r="B52" s="67" t="s">
        <v>6</v>
      </c>
      <c r="C52" s="4" t="s">
        <v>5</v>
      </c>
      <c r="D52" s="2" t="s">
        <v>4</v>
      </c>
      <c r="E52" t="s">
        <v>3</v>
      </c>
      <c r="F52" t="s">
        <v>9</v>
      </c>
      <c r="G52" t="s">
        <v>10</v>
      </c>
      <c r="H52" t="s">
        <v>11</v>
      </c>
    </row>
    <row r="53" spans="1:8" ht="13.5" customHeight="1" x14ac:dyDescent="0.15">
      <c r="A53" s="12"/>
      <c r="E53" s="1"/>
      <c r="H53" s="22"/>
    </row>
    <row r="54" spans="1:8" x14ac:dyDescent="0.15">
      <c r="E54" s="1"/>
    </row>
    <row r="55" spans="1:8" x14ac:dyDescent="0.15">
      <c r="H55" s="22"/>
    </row>
    <row r="56" spans="1:8" x14ac:dyDescent="0.15">
      <c r="C56" s="4"/>
    </row>
    <row r="57" spans="1:8" x14ac:dyDescent="0.15">
      <c r="C57" s="4"/>
    </row>
    <row r="58" spans="1:8" x14ac:dyDescent="0.15">
      <c r="C58" s="4"/>
    </row>
    <row r="59" spans="1:8" x14ac:dyDescent="0.15">
      <c r="C59" s="4"/>
    </row>
    <row r="60" spans="1:8" x14ac:dyDescent="0.15">
      <c r="E60" s="1"/>
    </row>
    <row r="61" spans="1:8" ht="14.25" thickBot="1" x14ac:dyDescent="0.2"/>
    <row r="62" spans="1:8" ht="14.25" thickBot="1" x14ac:dyDescent="0.2">
      <c r="C62" s="4"/>
      <c r="D62" s="69">
        <f>SUM(D53:D61)</f>
        <v>0</v>
      </c>
      <c r="E62" t="s">
        <v>30</v>
      </c>
    </row>
    <row r="64" spans="1:8" x14ac:dyDescent="0.15">
      <c r="C64" s="4"/>
    </row>
    <row r="65" spans="1:8" ht="17.25" x14ac:dyDescent="0.15">
      <c r="A65" s="12" t="s">
        <v>26</v>
      </c>
      <c r="C65" s="4"/>
    </row>
    <row r="66" spans="1:8" ht="13.5" customHeight="1" x14ac:dyDescent="0.15">
      <c r="B66" s="67" t="s">
        <v>6</v>
      </c>
      <c r="C66" s="4" t="s">
        <v>5</v>
      </c>
      <c r="D66" s="2" t="s">
        <v>4</v>
      </c>
      <c r="E66" t="s">
        <v>3</v>
      </c>
      <c r="F66" t="s">
        <v>9</v>
      </c>
      <c r="G66" t="s">
        <v>10</v>
      </c>
      <c r="H66" t="s">
        <v>11</v>
      </c>
    </row>
    <row r="67" spans="1:8" ht="14.25" customHeight="1" x14ac:dyDescent="0.15">
      <c r="D67" s="59"/>
      <c r="H67" s="22"/>
    </row>
    <row r="68" spans="1:8" ht="13.5" customHeight="1" x14ac:dyDescent="0.15">
      <c r="D68" s="59"/>
      <c r="H68" s="22"/>
    </row>
    <row r="69" spans="1:8" x14ac:dyDescent="0.15">
      <c r="A69" s="22"/>
      <c r="D69" s="59"/>
      <c r="E69" s="6"/>
    </row>
    <row r="70" spans="1:8" x14ac:dyDescent="0.15">
      <c r="A70" s="22"/>
      <c r="D70" s="59"/>
      <c r="E70" s="6"/>
    </row>
    <row r="71" spans="1:8" x14ac:dyDescent="0.15">
      <c r="C71" s="4"/>
    </row>
    <row r="72" spans="1:8" ht="14.25" thickBot="1" x14ac:dyDescent="0.2">
      <c r="C72" s="4"/>
    </row>
    <row r="73" spans="1:8" ht="14.25" thickBot="1" x14ac:dyDescent="0.2">
      <c r="C73" s="4"/>
      <c r="D73" s="69">
        <f>SUM(D66:D72)</f>
        <v>0</v>
      </c>
      <c r="E73" t="s">
        <v>67</v>
      </c>
    </row>
    <row r="74" spans="1:8" x14ac:dyDescent="0.15">
      <c r="C74" s="4"/>
    </row>
    <row r="75" spans="1:8" x14ac:dyDescent="0.15">
      <c r="C75" s="4"/>
    </row>
    <row r="76" spans="1:8" ht="33" customHeight="1" x14ac:dyDescent="0.15">
      <c r="A76" s="12" t="s">
        <v>32</v>
      </c>
      <c r="C76" s="5"/>
      <c r="D76" s="70"/>
    </row>
    <row r="77" spans="1:8" ht="13.5" customHeight="1" x14ac:dyDescent="0.15"/>
    <row r="78" spans="1:8" ht="14.25" thickBot="1" x14ac:dyDescent="0.2">
      <c r="C78" s="14" t="s">
        <v>15</v>
      </c>
      <c r="D78" s="71">
        <f>D73</f>
        <v>0</v>
      </c>
      <c r="E78" s="14" t="s">
        <v>61</v>
      </c>
    </row>
    <row r="79" spans="1:8" ht="14.25" thickTop="1" x14ac:dyDescent="0.15">
      <c r="C79" s="13" t="s">
        <v>45</v>
      </c>
      <c r="D79" s="72">
        <f>D30</f>
        <v>0</v>
      </c>
      <c r="E79" t="s">
        <v>62</v>
      </c>
    </row>
    <row r="80" spans="1:8" x14ac:dyDescent="0.15">
      <c r="C80" s="5" t="s">
        <v>47</v>
      </c>
      <c r="D80" s="72">
        <f>D47</f>
        <v>0</v>
      </c>
      <c r="E80" t="s">
        <v>29</v>
      </c>
    </row>
    <row r="81" spans="1:7" ht="14.25" thickBot="1" x14ac:dyDescent="0.2">
      <c r="C81" s="14" t="s">
        <v>48</v>
      </c>
      <c r="D81" s="73">
        <f>D62</f>
        <v>0</v>
      </c>
      <c r="E81" s="14" t="s">
        <v>63</v>
      </c>
    </row>
    <row r="82" spans="1:7" ht="14.25" thickTop="1" x14ac:dyDescent="0.15">
      <c r="C82" t="s">
        <v>33</v>
      </c>
      <c r="D82" s="74">
        <f>SUM(D79:D81)</f>
        <v>0</v>
      </c>
      <c r="E82" t="s">
        <v>64</v>
      </c>
    </row>
    <row r="84" spans="1:7" x14ac:dyDescent="0.15">
      <c r="C84" t="s">
        <v>32</v>
      </c>
      <c r="D84" s="75">
        <f>D78+D82</f>
        <v>0</v>
      </c>
      <c r="E84" t="s">
        <v>65</v>
      </c>
    </row>
    <row r="87" spans="1:7" ht="17.25" x14ac:dyDescent="0.15">
      <c r="A87" s="12" t="s">
        <v>49</v>
      </c>
      <c r="C87" s="4"/>
    </row>
    <row r="88" spans="1:7" ht="17.25" x14ac:dyDescent="0.15">
      <c r="A88" s="12"/>
      <c r="C88" s="4" t="s">
        <v>49</v>
      </c>
      <c r="E88" s="3"/>
    </row>
    <row r="89" spans="1:7" x14ac:dyDescent="0.15">
      <c r="C89" s="4" t="s">
        <v>52</v>
      </c>
      <c r="E89" s="3"/>
    </row>
    <row r="90" spans="1:7" x14ac:dyDescent="0.15">
      <c r="C90" s="4"/>
    </row>
    <row r="91" spans="1:7" x14ac:dyDescent="0.15">
      <c r="C91" s="4"/>
    </row>
    <row r="92" spans="1:7" x14ac:dyDescent="0.15">
      <c r="C92" s="4"/>
    </row>
    <row r="93" spans="1:7" x14ac:dyDescent="0.15">
      <c r="A93" s="22"/>
      <c r="B93" s="68"/>
      <c r="C93" s="22"/>
      <c r="D93" s="59"/>
      <c r="E93" s="53"/>
      <c r="F93" s="22"/>
      <c r="G93" s="22"/>
    </row>
    <row r="94" spans="1:7" x14ac:dyDescent="0.15">
      <c r="A94" s="22"/>
      <c r="B94" s="68"/>
      <c r="C94" s="22"/>
      <c r="D94" s="59"/>
      <c r="E94" s="53"/>
      <c r="F94" s="22"/>
      <c r="G94" s="22"/>
    </row>
    <row r="95" spans="1:7" x14ac:dyDescent="0.15">
      <c r="A95" s="22"/>
      <c r="B95" s="68"/>
      <c r="C95" s="22"/>
      <c r="D95" s="59"/>
      <c r="E95" s="53"/>
      <c r="F95" s="22"/>
      <c r="G95" s="22"/>
    </row>
    <row r="96" spans="1:7" x14ac:dyDescent="0.15">
      <c r="A96" s="22"/>
      <c r="B96" s="68"/>
      <c r="C96" s="22"/>
      <c r="D96" s="59"/>
      <c r="E96" s="53"/>
      <c r="F96" s="22"/>
      <c r="G96" s="22"/>
    </row>
    <row r="97" spans="1:8" x14ac:dyDescent="0.15">
      <c r="A97" s="22"/>
      <c r="B97" s="68"/>
      <c r="C97" s="22"/>
      <c r="D97" s="59"/>
      <c r="E97" s="53"/>
      <c r="F97" s="22"/>
      <c r="G97" s="22"/>
    </row>
    <row r="98" spans="1:8" x14ac:dyDescent="0.15">
      <c r="A98" s="22"/>
      <c r="B98" s="68"/>
      <c r="C98" s="22"/>
      <c r="D98" s="59"/>
      <c r="E98" s="53"/>
      <c r="F98" s="22"/>
      <c r="G98" s="22"/>
    </row>
    <row r="99" spans="1:8" x14ac:dyDescent="0.15">
      <c r="A99" s="22"/>
      <c r="B99" s="68"/>
      <c r="C99" s="22"/>
      <c r="D99" s="59"/>
      <c r="E99" s="53"/>
      <c r="F99" s="22"/>
      <c r="G99" s="22"/>
    </row>
    <row r="100" spans="1:8" x14ac:dyDescent="0.15">
      <c r="A100" s="22"/>
      <c r="B100" s="68"/>
      <c r="C100" s="22"/>
      <c r="D100" s="59"/>
      <c r="E100" s="53"/>
      <c r="F100" s="22"/>
      <c r="G100" s="22"/>
    </row>
    <row r="101" spans="1:8" x14ac:dyDescent="0.15">
      <c r="A101" s="22"/>
      <c r="B101" s="68"/>
      <c r="C101" s="22"/>
      <c r="D101" s="59"/>
      <c r="E101" s="53"/>
      <c r="F101" s="22"/>
      <c r="G101" s="22"/>
    </row>
    <row r="102" spans="1:8" x14ac:dyDescent="0.15">
      <c r="A102" s="22"/>
      <c r="B102" s="68"/>
      <c r="C102" s="22"/>
      <c r="D102" s="59"/>
      <c r="E102" s="53"/>
      <c r="F102" s="22"/>
      <c r="G102" s="22"/>
    </row>
    <row r="103" spans="1:8" x14ac:dyDescent="0.15">
      <c r="A103" s="22"/>
      <c r="B103" s="68"/>
      <c r="C103" s="22"/>
      <c r="D103" s="59"/>
      <c r="E103" s="22"/>
      <c r="F103" s="22"/>
      <c r="G103" s="22"/>
      <c r="H103" s="22"/>
    </row>
    <row r="104" spans="1:8" x14ac:dyDescent="0.15">
      <c r="A104" s="22"/>
      <c r="B104" s="68"/>
      <c r="C104" s="22"/>
      <c r="D104" s="59"/>
      <c r="E104" s="22"/>
      <c r="F104" s="22"/>
      <c r="G104" s="22"/>
    </row>
    <row r="105" spans="1:8" x14ac:dyDescent="0.15">
      <c r="A105" s="22"/>
      <c r="B105" s="68"/>
      <c r="C105" s="22"/>
      <c r="D105" s="59"/>
      <c r="E105" s="53"/>
      <c r="F105" s="22"/>
      <c r="G105" s="22"/>
    </row>
    <row r="106" spans="1:8" x14ac:dyDescent="0.15">
      <c r="A106" s="22"/>
      <c r="B106" s="68"/>
      <c r="C106" s="22"/>
      <c r="D106" s="59"/>
      <c r="E106" s="22"/>
      <c r="F106" s="22"/>
      <c r="G106" s="22"/>
    </row>
    <row r="107" spans="1:8" x14ac:dyDescent="0.15">
      <c r="A107" s="22"/>
      <c r="B107" s="68"/>
      <c r="C107" s="22"/>
      <c r="D107" s="59"/>
      <c r="E107" s="23"/>
      <c r="F107" s="22"/>
      <c r="G107" s="22"/>
      <c r="H107" s="22"/>
    </row>
    <row r="108" spans="1:8" x14ac:dyDescent="0.15">
      <c r="A108" s="22"/>
      <c r="B108" s="68"/>
      <c r="C108" s="22"/>
      <c r="D108" s="59"/>
      <c r="E108" s="22"/>
      <c r="F108" s="22"/>
      <c r="G108" s="22"/>
    </row>
    <row r="109" spans="1:8" x14ac:dyDescent="0.15">
      <c r="A109" s="22"/>
      <c r="B109" s="68"/>
      <c r="C109" s="22"/>
      <c r="D109" s="59"/>
      <c r="E109" s="22"/>
      <c r="F109" s="22"/>
      <c r="G109" s="22"/>
      <c r="H109" s="22"/>
    </row>
    <row r="110" spans="1:8" x14ac:dyDescent="0.15">
      <c r="A110" s="22"/>
      <c r="B110" s="68"/>
      <c r="C110" s="22"/>
      <c r="D110" s="59"/>
      <c r="E110" s="22"/>
      <c r="F110" s="22"/>
      <c r="G110" s="22"/>
      <c r="H110" s="22"/>
    </row>
    <row r="111" spans="1:8" x14ac:dyDescent="0.15">
      <c r="A111" s="22"/>
      <c r="B111" s="68"/>
      <c r="C111" s="22"/>
      <c r="D111" s="59"/>
      <c r="E111" s="22"/>
      <c r="F111" s="22"/>
      <c r="G111" s="22"/>
      <c r="H111" s="22"/>
    </row>
    <row r="112" spans="1:8" x14ac:dyDescent="0.15">
      <c r="A112" s="22"/>
      <c r="B112" s="68"/>
      <c r="C112" s="22"/>
      <c r="D112" s="59"/>
      <c r="E112" s="23"/>
      <c r="F112" s="22"/>
      <c r="G112" s="22"/>
    </row>
    <row r="113" spans="1:8" x14ac:dyDescent="0.15">
      <c r="A113" s="22"/>
      <c r="B113" s="68"/>
      <c r="C113" s="22"/>
      <c r="D113" s="59"/>
      <c r="E113" s="22"/>
      <c r="F113" s="22"/>
      <c r="G113" s="22"/>
      <c r="H113" s="22"/>
    </row>
    <row r="114" spans="1:8" x14ac:dyDescent="0.15">
      <c r="A114" s="22"/>
      <c r="B114" s="68"/>
      <c r="C114" s="22"/>
      <c r="D114" s="59"/>
      <c r="E114" s="22"/>
      <c r="F114" s="22"/>
      <c r="G114" s="22"/>
      <c r="H114" s="22"/>
    </row>
    <row r="116" spans="1:8" x14ac:dyDescent="0.15">
      <c r="H116" s="22"/>
    </row>
  </sheetData>
  <sortState ref="A21:J29">
    <sortCondition ref="B21:B29"/>
  </sortState>
  <phoneticPr fontId="3"/>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27"/>
  <sheetViews>
    <sheetView topLeftCell="A91" workbookViewId="0">
      <selection activeCell="D99" sqref="D99:E101"/>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7" spans="1:8" x14ac:dyDescent="0.15">
      <c r="D7" s="59"/>
      <c r="E7" s="1"/>
    </row>
    <row r="8" spans="1:8" x14ac:dyDescent="0.15">
      <c r="E8" s="1"/>
    </row>
    <row r="9" spans="1:8" x14ac:dyDescent="0.15">
      <c r="D9" s="59"/>
    </row>
    <row r="10" spans="1:8" x14ac:dyDescent="0.15">
      <c r="D10" s="59"/>
    </row>
    <row r="13" spans="1:8" x14ac:dyDescent="0.15">
      <c r="D13" s="59"/>
      <c r="H13" s="22"/>
    </row>
    <row r="14" spans="1:8" x14ac:dyDescent="0.15">
      <c r="D14" s="59"/>
    </row>
    <row r="15" spans="1:8" x14ac:dyDescent="0.15">
      <c r="A15" s="22"/>
      <c r="C15" s="6"/>
      <c r="D15" s="59"/>
      <c r="E15" s="1"/>
      <c r="H15" s="22"/>
    </row>
    <row r="16" spans="1:8" x14ac:dyDescent="0.15">
      <c r="D16" s="59"/>
      <c r="H16" s="22"/>
    </row>
    <row r="17" spans="1:8" x14ac:dyDescent="0.15">
      <c r="D17" s="59"/>
      <c r="H17" s="22"/>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D23" s="59"/>
      <c r="H23" s="22"/>
    </row>
    <row r="24" spans="1:8" x14ac:dyDescent="0.15">
      <c r="A24" s="22"/>
      <c r="D24" s="59"/>
      <c r="E24" s="6"/>
    </row>
    <row r="27" spans="1:8" x14ac:dyDescent="0.15">
      <c r="A27" s="22"/>
      <c r="C27" s="6"/>
      <c r="D27" s="59"/>
      <c r="E27" s="1"/>
      <c r="H27" s="22"/>
    </row>
    <row r="29" spans="1:8" x14ac:dyDescent="0.15">
      <c r="D29" s="59"/>
      <c r="H29" s="22"/>
    </row>
    <row r="30" spans="1:8" x14ac:dyDescent="0.15">
      <c r="D30" s="59"/>
      <c r="H30" s="22"/>
    </row>
    <row r="32" spans="1:8" x14ac:dyDescent="0.15">
      <c r="D32" s="59"/>
      <c r="H32" s="22"/>
    </row>
    <row r="34" spans="1:8" x14ac:dyDescent="0.15">
      <c r="D34" s="59"/>
      <c r="H34" s="22"/>
    </row>
    <row r="37" spans="1:8" x14ac:dyDescent="0.15">
      <c r="D37" s="59"/>
      <c r="H37" s="22"/>
    </row>
    <row r="38" spans="1:8" x14ac:dyDescent="0.15">
      <c r="E38" s="1"/>
    </row>
    <row r="39" spans="1:8" x14ac:dyDescent="0.15">
      <c r="E39" s="1"/>
    </row>
    <row r="40" spans="1:8" ht="14.25" thickBot="1" x14ac:dyDescent="0.2"/>
    <row r="41" spans="1:8" ht="14.25" thickBot="1" x14ac:dyDescent="0.2">
      <c r="C41" s="4"/>
      <c r="D41" s="69">
        <f>SUM(D4:D39)</f>
        <v>0</v>
      </c>
      <c r="E41" t="s">
        <v>28</v>
      </c>
    </row>
    <row r="42" spans="1:8" x14ac:dyDescent="0.15">
      <c r="C42" s="4"/>
    </row>
    <row r="43" spans="1:8" x14ac:dyDescent="0.15">
      <c r="C43" s="4"/>
    </row>
    <row r="44" spans="1:8" x14ac:dyDescent="0.15">
      <c r="C44" s="4"/>
    </row>
    <row r="46" spans="1:8" x14ac:dyDescent="0.15">
      <c r="C46" s="4"/>
    </row>
    <row r="47" spans="1:8" ht="17.25" x14ac:dyDescent="0.15">
      <c r="A47" s="12" t="s">
        <v>25</v>
      </c>
      <c r="C47" s="4"/>
    </row>
    <row r="48" spans="1:8" ht="13.5" customHeight="1" x14ac:dyDescent="0.15">
      <c r="A48" s="12"/>
      <c r="B48" s="67" t="s">
        <v>6</v>
      </c>
      <c r="C48" s="4" t="s">
        <v>5</v>
      </c>
      <c r="D48" s="2" t="s">
        <v>4</v>
      </c>
      <c r="E48" t="s">
        <v>3</v>
      </c>
      <c r="F48" t="s">
        <v>9</v>
      </c>
      <c r="G48" t="s">
        <v>10</v>
      </c>
      <c r="H48" t="s">
        <v>11</v>
      </c>
    </row>
    <row r="49" spans="1:8" ht="13.5" customHeight="1" x14ac:dyDescent="0.15">
      <c r="A49" s="22"/>
      <c r="D49" s="59"/>
      <c r="E49" s="6"/>
    </row>
    <row r="50" spans="1:8" ht="13.5" customHeight="1" x14ac:dyDescent="0.15">
      <c r="D50" s="59"/>
      <c r="H50" s="22"/>
    </row>
    <row r="51" spans="1:8" ht="13.5" customHeight="1" x14ac:dyDescent="0.15">
      <c r="D51" s="59"/>
      <c r="H51" s="22"/>
    </row>
    <row r="52" spans="1:8" ht="13.5" customHeight="1" x14ac:dyDescent="0.15">
      <c r="D52" s="59"/>
      <c r="H52" s="22"/>
    </row>
    <row r="53" spans="1:8" ht="13.5" customHeight="1" x14ac:dyDescent="0.15">
      <c r="H53" s="22"/>
    </row>
    <row r="54" spans="1:8" ht="13.5" customHeight="1" x14ac:dyDescent="0.15">
      <c r="D54" s="59"/>
      <c r="H54" s="22"/>
    </row>
    <row r="55" spans="1:8" ht="13.5" customHeight="1" x14ac:dyDescent="0.15">
      <c r="D55" s="59"/>
      <c r="H55" s="22"/>
    </row>
    <row r="57" spans="1:8" ht="14.25" thickBot="1" x14ac:dyDescent="0.2">
      <c r="E57" s="6"/>
      <c r="F57" s="7"/>
      <c r="G57" s="7"/>
      <c r="H57" s="7"/>
    </row>
    <row r="58" spans="1:8" ht="14.25" thickBot="1" x14ac:dyDescent="0.2">
      <c r="C58" s="4"/>
      <c r="D58" s="69">
        <f>SUM(D49:D57)</f>
        <v>0</v>
      </c>
      <c r="E58" t="s">
        <v>29</v>
      </c>
    </row>
    <row r="59" spans="1:8" x14ac:dyDescent="0.15">
      <c r="C59" s="4"/>
    </row>
    <row r="61" spans="1:8" x14ac:dyDescent="0.15">
      <c r="C61" s="4"/>
    </row>
    <row r="62" spans="1:8" ht="17.25" x14ac:dyDescent="0.15">
      <c r="A62" s="12" t="s">
        <v>27</v>
      </c>
      <c r="C62" s="4"/>
    </row>
    <row r="63" spans="1:8" ht="13.5" customHeight="1" x14ac:dyDescent="0.15">
      <c r="A63" s="12"/>
      <c r="B63" s="67"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69">
        <f>SUM(D64:D72)</f>
        <v>0</v>
      </c>
      <c r="E73" t="s">
        <v>30</v>
      </c>
    </row>
    <row r="75" spans="1:8" x14ac:dyDescent="0.15">
      <c r="C75" s="4"/>
    </row>
    <row r="76" spans="1:8" ht="17.25" x14ac:dyDescent="0.15">
      <c r="A76" s="12" t="s">
        <v>26</v>
      </c>
      <c r="C76" s="4"/>
    </row>
    <row r="77" spans="1:8" ht="13.5" customHeight="1" x14ac:dyDescent="0.15">
      <c r="B77" s="67" t="s">
        <v>6</v>
      </c>
      <c r="C77" s="4" t="s">
        <v>5</v>
      </c>
      <c r="D77" s="2" t="s">
        <v>4</v>
      </c>
      <c r="E77" t="s">
        <v>3</v>
      </c>
      <c r="F77" t="s">
        <v>9</v>
      </c>
      <c r="G77" t="s">
        <v>10</v>
      </c>
      <c r="H77" t="s">
        <v>11</v>
      </c>
    </row>
    <row r="78" spans="1:8" ht="14.25" customHeight="1" x14ac:dyDescent="0.15">
      <c r="D78" s="59"/>
      <c r="H78" s="22"/>
    </row>
    <row r="79" spans="1:8" ht="13.5" customHeight="1" x14ac:dyDescent="0.15"/>
    <row r="80" spans="1:8" x14ac:dyDescent="0.15">
      <c r="D80" s="59"/>
      <c r="H80" s="22"/>
    </row>
    <row r="81" spans="1:8" x14ac:dyDescent="0.15">
      <c r="D81" s="59"/>
      <c r="H81" s="22"/>
    </row>
    <row r="83" spans="1:8" ht="14.25" thickBot="1" x14ac:dyDescent="0.2">
      <c r="C83" s="4"/>
    </row>
    <row r="84" spans="1:8" ht="14.25" thickBot="1" x14ac:dyDescent="0.2">
      <c r="C84" s="4"/>
      <c r="D84" s="69">
        <f>SUM(D77:D83)</f>
        <v>0</v>
      </c>
      <c r="E84" t="s">
        <v>67</v>
      </c>
    </row>
    <row r="85" spans="1:8" x14ac:dyDescent="0.15">
      <c r="C85" s="4"/>
    </row>
    <row r="86" spans="1:8" x14ac:dyDescent="0.15">
      <c r="C86" s="4"/>
    </row>
    <row r="87" spans="1:8" ht="33" customHeight="1" x14ac:dyDescent="0.15">
      <c r="A87" s="12" t="s">
        <v>32</v>
      </c>
      <c r="C87" s="5"/>
      <c r="D87" s="70"/>
    </row>
    <row r="88" spans="1:8" ht="13.5" customHeight="1" x14ac:dyDescent="0.15"/>
    <row r="89" spans="1:8" ht="14.25" thickBot="1" x14ac:dyDescent="0.2">
      <c r="C89" s="14" t="s">
        <v>15</v>
      </c>
      <c r="D89" s="71">
        <f>D84</f>
        <v>0</v>
      </c>
      <c r="E89" s="14" t="s">
        <v>61</v>
      </c>
    </row>
    <row r="90" spans="1:8" ht="14.25" thickTop="1" x14ac:dyDescent="0.15">
      <c r="C90" s="13" t="s">
        <v>45</v>
      </c>
      <c r="D90" s="72">
        <f>D41</f>
        <v>0</v>
      </c>
      <c r="E90" t="s">
        <v>62</v>
      </c>
    </row>
    <row r="91" spans="1:8" x14ac:dyDescent="0.15">
      <c r="C91" s="5" t="s">
        <v>47</v>
      </c>
      <c r="D91" s="72">
        <f>D58</f>
        <v>0</v>
      </c>
      <c r="E91" t="s">
        <v>29</v>
      </c>
    </row>
    <row r="92" spans="1:8" ht="14.25" thickBot="1" x14ac:dyDescent="0.2">
      <c r="C92" s="14" t="s">
        <v>48</v>
      </c>
      <c r="D92" s="73">
        <f>D73</f>
        <v>0</v>
      </c>
      <c r="E92" s="14" t="s">
        <v>63</v>
      </c>
    </row>
    <row r="93" spans="1:8" ht="14.25" thickTop="1" x14ac:dyDescent="0.15">
      <c r="C93" t="s">
        <v>33</v>
      </c>
      <c r="D93" s="74">
        <f>SUM(D90:D92)</f>
        <v>0</v>
      </c>
      <c r="E93" t="s">
        <v>64</v>
      </c>
    </row>
    <row r="95" spans="1:8" x14ac:dyDescent="0.15">
      <c r="C95" t="s">
        <v>32</v>
      </c>
      <c r="D95" s="75">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8"/>
      <c r="C104" s="22"/>
      <c r="D104" s="59"/>
      <c r="E104" s="53"/>
      <c r="F104" s="22"/>
      <c r="G104" s="22"/>
    </row>
    <row r="105" spans="1:7" x14ac:dyDescent="0.15">
      <c r="A105" s="22"/>
      <c r="B105" s="68"/>
      <c r="C105" s="22"/>
      <c r="D105" s="59"/>
      <c r="E105" s="53"/>
      <c r="F105" s="22"/>
      <c r="G105" s="22"/>
    </row>
    <row r="106" spans="1:7" x14ac:dyDescent="0.15">
      <c r="A106" s="22"/>
      <c r="B106" s="68"/>
      <c r="C106" s="22"/>
      <c r="D106" s="59"/>
      <c r="E106" s="53"/>
      <c r="F106" s="22"/>
      <c r="G106" s="22"/>
    </row>
    <row r="107" spans="1:7" x14ac:dyDescent="0.15">
      <c r="A107" s="22"/>
      <c r="B107" s="68"/>
      <c r="C107" s="22"/>
      <c r="D107" s="59"/>
      <c r="E107" s="53"/>
      <c r="F107" s="22"/>
      <c r="G107" s="22"/>
    </row>
    <row r="108" spans="1:7" x14ac:dyDescent="0.15">
      <c r="A108" s="22"/>
      <c r="B108" s="68"/>
      <c r="C108" s="22"/>
      <c r="D108" s="59"/>
      <c r="E108" s="53"/>
      <c r="F108" s="22"/>
      <c r="G108" s="22"/>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22"/>
      <c r="F114" s="22"/>
      <c r="G114" s="22"/>
      <c r="H114" s="22"/>
    </row>
    <row r="115" spans="1:8" x14ac:dyDescent="0.15">
      <c r="A115" s="22"/>
      <c r="B115" s="68"/>
      <c r="C115" s="22"/>
      <c r="D115" s="59"/>
      <c r="E115" s="22"/>
      <c r="F115" s="22"/>
      <c r="G115" s="22"/>
    </row>
    <row r="116" spans="1:8" x14ac:dyDescent="0.15">
      <c r="A116" s="22"/>
      <c r="B116" s="68"/>
      <c r="C116" s="22"/>
      <c r="D116" s="59"/>
      <c r="E116" s="53"/>
      <c r="F116" s="22"/>
      <c r="G116" s="22"/>
    </row>
    <row r="117" spans="1:8" x14ac:dyDescent="0.15">
      <c r="A117" s="22"/>
      <c r="B117" s="68"/>
      <c r="C117" s="22"/>
      <c r="D117" s="59"/>
      <c r="E117" s="22"/>
      <c r="F117" s="22"/>
      <c r="G117" s="22"/>
    </row>
    <row r="118" spans="1:8" x14ac:dyDescent="0.15">
      <c r="A118" s="22"/>
      <c r="B118" s="68"/>
      <c r="C118" s="22"/>
      <c r="D118" s="59"/>
      <c r="E118" s="23"/>
      <c r="F118" s="22"/>
      <c r="G118" s="22"/>
      <c r="H118" s="22"/>
    </row>
    <row r="119" spans="1:8" x14ac:dyDescent="0.15">
      <c r="A119" s="22"/>
      <c r="B119" s="68"/>
      <c r="C119" s="22"/>
      <c r="D119" s="59"/>
      <c r="E119" s="22"/>
      <c r="F119" s="22"/>
      <c r="G119" s="22"/>
    </row>
    <row r="120" spans="1:8" x14ac:dyDescent="0.15">
      <c r="A120" s="22"/>
      <c r="B120" s="68"/>
      <c r="C120" s="22"/>
      <c r="D120" s="59"/>
      <c r="E120" s="22"/>
      <c r="F120" s="22"/>
      <c r="G120" s="22"/>
      <c r="H120" s="22"/>
    </row>
    <row r="121" spans="1:8" x14ac:dyDescent="0.15">
      <c r="A121" s="22"/>
      <c r="B121" s="68"/>
      <c r="C121" s="22"/>
      <c r="D121" s="59"/>
      <c r="E121" s="22"/>
      <c r="F121" s="22"/>
      <c r="G121" s="22"/>
      <c r="H121" s="22"/>
    </row>
    <row r="122" spans="1:8" x14ac:dyDescent="0.15">
      <c r="A122" s="22"/>
      <c r="B122" s="68"/>
      <c r="C122" s="22"/>
      <c r="D122" s="59"/>
      <c r="E122" s="22"/>
      <c r="F122" s="22"/>
      <c r="G122" s="22"/>
      <c r="H122" s="22"/>
    </row>
    <row r="123" spans="1:8" x14ac:dyDescent="0.15">
      <c r="A123" s="22"/>
      <c r="B123" s="68"/>
      <c r="C123" s="22"/>
      <c r="D123" s="59"/>
      <c r="E123" s="23"/>
      <c r="F123" s="22"/>
      <c r="G123" s="22"/>
    </row>
    <row r="124" spans="1:8" x14ac:dyDescent="0.15">
      <c r="A124" s="22"/>
      <c r="B124" s="68"/>
      <c r="C124" s="22"/>
      <c r="D124" s="59"/>
      <c r="E124" s="22"/>
      <c r="F124" s="22"/>
      <c r="G124" s="22"/>
      <c r="H124" s="22"/>
    </row>
    <row r="125" spans="1:8" x14ac:dyDescent="0.15">
      <c r="A125" s="22"/>
      <c r="B125" s="68"/>
      <c r="C125" s="22"/>
      <c r="D125" s="59"/>
      <c r="E125" s="22"/>
      <c r="F125" s="22"/>
      <c r="G125" s="22"/>
      <c r="H125" s="22"/>
    </row>
    <row r="127" spans="1:8" x14ac:dyDescent="0.15">
      <c r="H127" s="22"/>
    </row>
  </sheetData>
  <sortState ref="A118:L166">
    <sortCondition ref="B118:B166"/>
  </sortState>
  <phoneticPr fontId="3"/>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32"/>
  <sheetViews>
    <sheetView topLeftCell="A40" workbookViewId="0">
      <selection activeCell="E63" sqref="E63"/>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E4" s="1"/>
    </row>
    <row r="5" spans="1:8" x14ac:dyDescent="0.15">
      <c r="D5" s="59"/>
      <c r="H5" s="22"/>
    </row>
    <row r="6" spans="1:8" x14ac:dyDescent="0.15">
      <c r="D6" s="59"/>
      <c r="E6" s="6"/>
      <c r="H6" s="22"/>
    </row>
    <row r="8" spans="1:8" x14ac:dyDescent="0.15">
      <c r="D8" s="59"/>
      <c r="H8" s="22"/>
    </row>
    <row r="10" spans="1:8" x14ac:dyDescent="0.15">
      <c r="D10" s="59"/>
      <c r="H10" s="22"/>
    </row>
    <row r="11" spans="1:8" x14ac:dyDescent="0.15">
      <c r="D11" s="59"/>
      <c r="H11" s="22"/>
    </row>
    <row r="13" spans="1:8" x14ac:dyDescent="0.15">
      <c r="D13" s="59"/>
      <c r="H13" s="22"/>
    </row>
    <row r="14" spans="1:8" x14ac:dyDescent="0.15">
      <c r="A14" s="22"/>
      <c r="C14" s="6"/>
      <c r="D14" s="59"/>
      <c r="E14" s="1"/>
      <c r="H14" s="22"/>
    </row>
    <row r="17" spans="1:8" x14ac:dyDescent="0.15">
      <c r="A17" s="22"/>
      <c r="D17" s="59"/>
      <c r="E17" s="6"/>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A23" s="22"/>
      <c r="C23" s="6"/>
      <c r="D23" s="59"/>
      <c r="E23" s="1"/>
      <c r="H23" s="22"/>
    </row>
    <row r="24" spans="1:8" x14ac:dyDescent="0.15">
      <c r="D24" s="59"/>
      <c r="H24" s="22"/>
    </row>
    <row r="25" spans="1:8" x14ac:dyDescent="0.15">
      <c r="D25" s="59"/>
    </row>
    <row r="28" spans="1:8" x14ac:dyDescent="0.15">
      <c r="D28" s="59"/>
    </row>
    <row r="29" spans="1:8" x14ac:dyDescent="0.15">
      <c r="D29" s="59"/>
    </row>
    <row r="30" spans="1:8" x14ac:dyDescent="0.15">
      <c r="D30" s="59"/>
      <c r="E30" s="1"/>
    </row>
    <row r="31" spans="1:8" x14ac:dyDescent="0.15">
      <c r="E31" s="1"/>
    </row>
    <row r="33" spans="1:8" x14ac:dyDescent="0.15">
      <c r="D33" s="59"/>
      <c r="H33" s="22"/>
    </row>
    <row r="35" spans="1:8" x14ac:dyDescent="0.15">
      <c r="D35" s="59"/>
      <c r="H35" s="22"/>
    </row>
    <row r="36" spans="1:8" x14ac:dyDescent="0.15">
      <c r="D36" s="59"/>
      <c r="H36" s="22"/>
    </row>
    <row r="37" spans="1:8" x14ac:dyDescent="0.15">
      <c r="D37" s="59"/>
      <c r="H37" s="22"/>
    </row>
    <row r="38" spans="1:8" x14ac:dyDescent="0.15">
      <c r="D38" s="59"/>
      <c r="H38" s="22"/>
    </row>
    <row r="39" spans="1:8" x14ac:dyDescent="0.15">
      <c r="D39" s="59"/>
      <c r="H39" s="22"/>
    </row>
    <row r="40" spans="1:8" x14ac:dyDescent="0.15">
      <c r="A40" s="22"/>
      <c r="D40" s="59"/>
      <c r="E40" s="6"/>
    </row>
    <row r="41" spans="1:8" x14ac:dyDescent="0.15">
      <c r="D41" s="59"/>
      <c r="H41" s="22"/>
    </row>
    <row r="42" spans="1:8" x14ac:dyDescent="0.15">
      <c r="D42" s="59"/>
      <c r="H42" s="22"/>
    </row>
    <row r="44" spans="1:8" ht="14.25" thickBot="1" x14ac:dyDescent="0.2"/>
    <row r="45" spans="1:8" ht="14.25" thickBot="1" x14ac:dyDescent="0.2">
      <c r="C45" s="4"/>
      <c r="D45" s="69">
        <f>SUM(D4:D43)</f>
        <v>0</v>
      </c>
      <c r="E45" t="s">
        <v>28</v>
      </c>
    </row>
    <row r="46" spans="1:8" x14ac:dyDescent="0.15">
      <c r="C46" s="4"/>
    </row>
    <row r="47" spans="1:8" x14ac:dyDescent="0.15">
      <c r="C47" s="4"/>
    </row>
    <row r="48" spans="1:8" x14ac:dyDescent="0.15">
      <c r="C48" s="4"/>
    </row>
    <row r="50" spans="1:8" x14ac:dyDescent="0.15">
      <c r="C50" s="4"/>
    </row>
    <row r="51" spans="1:8" ht="17.25" x14ac:dyDescent="0.15">
      <c r="A51" s="12" t="s">
        <v>25</v>
      </c>
      <c r="C51" s="4"/>
    </row>
    <row r="52" spans="1:8" ht="13.5" customHeight="1" x14ac:dyDescent="0.15">
      <c r="A52" s="12"/>
      <c r="B52" s="67" t="s">
        <v>6</v>
      </c>
      <c r="C52" s="4" t="s">
        <v>5</v>
      </c>
      <c r="D52" s="2" t="s">
        <v>4</v>
      </c>
      <c r="E52" t="s">
        <v>3</v>
      </c>
      <c r="F52" t="s">
        <v>9</v>
      </c>
      <c r="G52" t="s">
        <v>10</v>
      </c>
      <c r="H52" t="s">
        <v>11</v>
      </c>
    </row>
    <row r="53" spans="1:8" ht="13.5" customHeight="1" x14ac:dyDescent="0.15"/>
    <row r="54" spans="1:8" ht="13.5" customHeight="1" x14ac:dyDescent="0.15"/>
    <row r="55" spans="1:8" ht="13.5" customHeight="1" x14ac:dyDescent="0.15"/>
    <row r="56" spans="1:8" x14ac:dyDescent="0.15">
      <c r="D56" s="59"/>
      <c r="H56" s="22"/>
    </row>
    <row r="57" spans="1:8" ht="13.5" customHeight="1" x14ac:dyDescent="0.15">
      <c r="D57" s="59"/>
      <c r="H57" s="22"/>
    </row>
    <row r="58" spans="1:8" ht="13.5" customHeight="1" x14ac:dyDescent="0.15">
      <c r="D58" s="59"/>
      <c r="H58" s="22"/>
    </row>
    <row r="59" spans="1:8" ht="13.5" customHeight="1" x14ac:dyDescent="0.15">
      <c r="D59" s="59"/>
      <c r="H59" s="22"/>
    </row>
    <row r="60" spans="1:8" ht="13.5" customHeight="1" x14ac:dyDescent="0.15">
      <c r="D60" s="59"/>
      <c r="H60" s="22"/>
    </row>
    <row r="61" spans="1:8" x14ac:dyDescent="0.15">
      <c r="H61" s="22"/>
    </row>
    <row r="63" spans="1:8" ht="14.25" thickBot="1" x14ac:dyDescent="0.2">
      <c r="E63" s="6"/>
      <c r="F63" s="7"/>
      <c r="G63" s="7"/>
      <c r="H63" s="7"/>
    </row>
    <row r="64" spans="1:8" ht="14.25" thickBot="1" x14ac:dyDescent="0.2">
      <c r="C64" s="4"/>
      <c r="D64" s="69">
        <f>SUM(D53:D63)</f>
        <v>0</v>
      </c>
      <c r="E64" t="s">
        <v>29</v>
      </c>
    </row>
    <row r="65" spans="1:8" x14ac:dyDescent="0.15">
      <c r="C65" s="4"/>
    </row>
    <row r="67" spans="1:8" x14ac:dyDescent="0.15">
      <c r="C67" s="4"/>
    </row>
    <row r="68" spans="1:8" ht="17.25" x14ac:dyDescent="0.15">
      <c r="A68" s="12" t="s">
        <v>27</v>
      </c>
      <c r="C68" s="4"/>
    </row>
    <row r="69" spans="1:8" ht="13.5" customHeight="1" x14ac:dyDescent="0.15">
      <c r="A69" s="12"/>
      <c r="B69" s="67" t="s">
        <v>6</v>
      </c>
      <c r="C69" s="4" t="s">
        <v>5</v>
      </c>
      <c r="D69" s="2" t="s">
        <v>4</v>
      </c>
      <c r="E69" t="s">
        <v>3</v>
      </c>
      <c r="F69" t="s">
        <v>9</v>
      </c>
      <c r="G69" t="s">
        <v>10</v>
      </c>
      <c r="H69" t="s">
        <v>11</v>
      </c>
    </row>
    <row r="70" spans="1:8" ht="13.5" customHeight="1" x14ac:dyDescent="0.15">
      <c r="A70" s="12"/>
      <c r="E70" s="1"/>
      <c r="H70" s="22"/>
    </row>
    <row r="71" spans="1:8" x14ac:dyDescent="0.15">
      <c r="E71" s="1"/>
    </row>
    <row r="72" spans="1:8" x14ac:dyDescent="0.15">
      <c r="H72" s="22"/>
    </row>
    <row r="73" spans="1:8" x14ac:dyDescent="0.15">
      <c r="C73" s="4"/>
    </row>
    <row r="74" spans="1:8" x14ac:dyDescent="0.15">
      <c r="C74" s="4"/>
    </row>
    <row r="75" spans="1:8" x14ac:dyDescent="0.15">
      <c r="C75" s="4"/>
    </row>
    <row r="76" spans="1:8" x14ac:dyDescent="0.15">
      <c r="C76" s="4"/>
    </row>
    <row r="77" spans="1:8" x14ac:dyDescent="0.15">
      <c r="E77" s="1"/>
    </row>
    <row r="78" spans="1:8" ht="14.25" thickBot="1" x14ac:dyDescent="0.2"/>
    <row r="79" spans="1:8" ht="14.25" thickBot="1" x14ac:dyDescent="0.2">
      <c r="C79" s="4"/>
      <c r="D79" s="69">
        <f>SUM(D70:D78)</f>
        <v>0</v>
      </c>
      <c r="E79" t="s">
        <v>30</v>
      </c>
    </row>
    <row r="81" spans="1:8" x14ac:dyDescent="0.15">
      <c r="C81" s="4"/>
    </row>
    <row r="82" spans="1:8" ht="17.25" x14ac:dyDescent="0.15">
      <c r="A82" s="12" t="s">
        <v>26</v>
      </c>
      <c r="C82" s="4"/>
    </row>
    <row r="83" spans="1:8" ht="13.5" customHeight="1" x14ac:dyDescent="0.15">
      <c r="B83" s="67" t="s">
        <v>6</v>
      </c>
      <c r="C83" s="4" t="s">
        <v>5</v>
      </c>
      <c r="D83" s="2" t="s">
        <v>4</v>
      </c>
      <c r="E83" t="s">
        <v>3</v>
      </c>
      <c r="F83" t="s">
        <v>9</v>
      </c>
      <c r="G83" t="s">
        <v>10</v>
      </c>
      <c r="H83" t="s">
        <v>11</v>
      </c>
    </row>
    <row r="84" spans="1:8" ht="14.25" customHeight="1" x14ac:dyDescent="0.15"/>
    <row r="85" spans="1:8" ht="13.5" customHeight="1" x14ac:dyDescent="0.15"/>
    <row r="86" spans="1:8" x14ac:dyDescent="0.15">
      <c r="D86" s="59"/>
      <c r="H86" s="22"/>
    </row>
    <row r="88" spans="1:8" ht="14.25" thickBot="1" x14ac:dyDescent="0.2">
      <c r="C88" s="4"/>
    </row>
    <row r="89" spans="1:8" ht="14.25" thickBot="1" x14ac:dyDescent="0.2">
      <c r="C89" s="4"/>
      <c r="D89" s="69">
        <f>SUM(D83:D88)</f>
        <v>0</v>
      </c>
      <c r="E89" t="s">
        <v>67</v>
      </c>
    </row>
    <row r="90" spans="1:8" x14ac:dyDescent="0.15">
      <c r="C90" s="4"/>
    </row>
    <row r="91" spans="1:8" x14ac:dyDescent="0.15">
      <c r="C91" s="4"/>
    </row>
    <row r="92" spans="1:8" ht="33" customHeight="1" x14ac:dyDescent="0.15">
      <c r="A92" s="12" t="s">
        <v>32</v>
      </c>
      <c r="C92" s="5"/>
      <c r="D92" s="70"/>
    </row>
    <row r="93" spans="1:8" ht="13.5" customHeight="1" x14ac:dyDescent="0.15"/>
    <row r="94" spans="1:8" ht="14.25" thickBot="1" x14ac:dyDescent="0.2">
      <c r="C94" s="14" t="s">
        <v>15</v>
      </c>
      <c r="D94" s="71">
        <f>D89</f>
        <v>0</v>
      </c>
      <c r="E94" s="14" t="s">
        <v>61</v>
      </c>
    </row>
    <row r="95" spans="1:8" ht="14.25" thickTop="1" x14ac:dyDescent="0.15">
      <c r="C95" s="13" t="s">
        <v>45</v>
      </c>
      <c r="D95" s="72">
        <f>D45</f>
        <v>0</v>
      </c>
      <c r="E95" t="s">
        <v>62</v>
      </c>
    </row>
    <row r="96" spans="1:8" x14ac:dyDescent="0.15">
      <c r="C96" s="5" t="s">
        <v>47</v>
      </c>
      <c r="D96" s="72">
        <f>D64</f>
        <v>0</v>
      </c>
      <c r="E96" t="s">
        <v>29</v>
      </c>
    </row>
    <row r="97" spans="1:7" ht="14.25" thickBot="1" x14ac:dyDescent="0.2">
      <c r="C97" s="14" t="s">
        <v>48</v>
      </c>
      <c r="D97" s="73">
        <f>D79</f>
        <v>0</v>
      </c>
      <c r="E97" s="14" t="s">
        <v>63</v>
      </c>
    </row>
    <row r="98" spans="1:7" ht="14.25" thickTop="1" x14ac:dyDescent="0.15">
      <c r="C98" t="s">
        <v>33</v>
      </c>
      <c r="D98" s="74">
        <f>SUM(D95:D97)</f>
        <v>0</v>
      </c>
      <c r="E98" t="s">
        <v>64</v>
      </c>
    </row>
    <row r="100" spans="1:7" x14ac:dyDescent="0.15">
      <c r="C100" t="s">
        <v>32</v>
      </c>
      <c r="D100" s="75">
        <f>D94+D98</f>
        <v>0</v>
      </c>
      <c r="E100" t="s">
        <v>65</v>
      </c>
    </row>
    <row r="103" spans="1:7" ht="17.25" x14ac:dyDescent="0.15">
      <c r="A103" s="12" t="s">
        <v>49</v>
      </c>
      <c r="C103" s="4"/>
    </row>
    <row r="104" spans="1:7" ht="17.25" x14ac:dyDescent="0.15">
      <c r="A104" s="12"/>
      <c r="C104" s="4" t="s">
        <v>49</v>
      </c>
      <c r="E104" s="3"/>
    </row>
    <row r="105" spans="1:7" x14ac:dyDescent="0.15">
      <c r="C105" s="4" t="s">
        <v>52</v>
      </c>
      <c r="E105" s="3"/>
    </row>
    <row r="106" spans="1:7" x14ac:dyDescent="0.15">
      <c r="C106" s="4"/>
    </row>
    <row r="107" spans="1:7" x14ac:dyDescent="0.15">
      <c r="C107" s="4"/>
    </row>
    <row r="108" spans="1:7" x14ac:dyDescent="0.15">
      <c r="C108" s="4"/>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53"/>
      <c r="F114" s="22"/>
      <c r="G114" s="22"/>
    </row>
    <row r="115" spans="1:8" x14ac:dyDescent="0.15">
      <c r="A115" s="22"/>
      <c r="B115" s="68"/>
      <c r="C115" s="22"/>
      <c r="D115" s="59"/>
      <c r="E115" s="53"/>
      <c r="F115" s="22"/>
      <c r="G115" s="22"/>
    </row>
    <row r="116" spans="1:8" x14ac:dyDescent="0.15">
      <c r="A116" s="22"/>
      <c r="B116" s="68"/>
      <c r="C116" s="22"/>
      <c r="D116" s="59"/>
      <c r="E116" s="53"/>
      <c r="F116" s="22"/>
      <c r="G116" s="22"/>
    </row>
    <row r="117" spans="1:8" x14ac:dyDescent="0.15">
      <c r="A117" s="22"/>
      <c r="B117" s="68"/>
      <c r="C117" s="22"/>
      <c r="D117" s="59"/>
      <c r="E117" s="53"/>
      <c r="F117" s="22"/>
      <c r="G117" s="22"/>
    </row>
    <row r="118" spans="1:8" x14ac:dyDescent="0.15">
      <c r="A118" s="22"/>
      <c r="B118" s="68"/>
      <c r="C118" s="22"/>
      <c r="D118" s="59"/>
      <c r="E118" s="53"/>
      <c r="F118" s="22"/>
      <c r="G118" s="22"/>
    </row>
    <row r="119" spans="1:8" x14ac:dyDescent="0.15">
      <c r="A119" s="22"/>
      <c r="B119" s="68"/>
      <c r="C119" s="22"/>
      <c r="D119" s="59"/>
      <c r="E119" s="22"/>
      <c r="F119" s="22"/>
      <c r="G119" s="22"/>
      <c r="H119" s="22"/>
    </row>
    <row r="120" spans="1:8" x14ac:dyDescent="0.15">
      <c r="A120" s="22"/>
      <c r="B120" s="68"/>
      <c r="C120" s="22"/>
      <c r="D120" s="59"/>
      <c r="E120" s="22"/>
      <c r="F120" s="22"/>
      <c r="G120" s="22"/>
    </row>
    <row r="121" spans="1:8" x14ac:dyDescent="0.15">
      <c r="A121" s="22"/>
      <c r="B121" s="68"/>
      <c r="C121" s="22"/>
      <c r="D121" s="59"/>
      <c r="E121" s="53"/>
      <c r="F121" s="22"/>
      <c r="G121" s="22"/>
    </row>
    <row r="122" spans="1:8" x14ac:dyDescent="0.15">
      <c r="A122" s="22"/>
      <c r="B122" s="68"/>
      <c r="C122" s="22"/>
      <c r="D122" s="59"/>
      <c r="E122" s="22"/>
      <c r="F122" s="22"/>
      <c r="G122" s="22"/>
    </row>
    <row r="123" spans="1:8" x14ac:dyDescent="0.15">
      <c r="A123" s="22"/>
      <c r="B123" s="68"/>
      <c r="C123" s="22"/>
      <c r="D123" s="59"/>
      <c r="E123" s="23"/>
      <c r="F123" s="22"/>
      <c r="G123" s="22"/>
      <c r="H123" s="22"/>
    </row>
    <row r="124" spans="1:8" x14ac:dyDescent="0.15">
      <c r="A124" s="22"/>
      <c r="B124" s="68"/>
      <c r="C124" s="22"/>
      <c r="D124" s="59"/>
      <c r="E124" s="22"/>
      <c r="F124" s="22"/>
      <c r="G124" s="22"/>
    </row>
    <row r="125" spans="1:8" x14ac:dyDescent="0.15">
      <c r="A125" s="22"/>
      <c r="B125" s="68"/>
      <c r="C125" s="22"/>
      <c r="D125" s="59"/>
      <c r="E125" s="22"/>
      <c r="F125" s="22"/>
      <c r="G125" s="22"/>
      <c r="H125" s="22"/>
    </row>
    <row r="126" spans="1:8" x14ac:dyDescent="0.15">
      <c r="A126" s="22"/>
      <c r="B126" s="68"/>
      <c r="C126" s="22"/>
      <c r="D126" s="59"/>
      <c r="E126" s="22"/>
      <c r="F126" s="22"/>
      <c r="G126" s="22"/>
      <c r="H126" s="22"/>
    </row>
    <row r="127" spans="1:8" x14ac:dyDescent="0.15">
      <c r="A127" s="22"/>
      <c r="B127" s="68"/>
      <c r="C127" s="22"/>
      <c r="D127" s="59"/>
      <c r="E127" s="22"/>
      <c r="F127" s="22"/>
      <c r="G127" s="22"/>
      <c r="H127" s="22"/>
    </row>
    <row r="128" spans="1:8" x14ac:dyDescent="0.15">
      <c r="A128" s="22"/>
      <c r="B128" s="68"/>
      <c r="C128" s="22"/>
      <c r="D128" s="59"/>
      <c r="E128" s="23"/>
      <c r="F128" s="22"/>
      <c r="G128" s="22"/>
    </row>
    <row r="129" spans="1:8" x14ac:dyDescent="0.15">
      <c r="A129" s="22"/>
      <c r="B129" s="68"/>
      <c r="C129" s="22"/>
      <c r="D129" s="59"/>
      <c r="E129" s="22"/>
      <c r="F129" s="22"/>
      <c r="G129" s="22"/>
      <c r="H129" s="22"/>
    </row>
    <row r="130" spans="1:8" x14ac:dyDescent="0.15">
      <c r="A130" s="22"/>
      <c r="B130" s="68"/>
      <c r="C130" s="22"/>
      <c r="D130" s="59"/>
      <c r="E130" s="22"/>
      <c r="F130" s="22"/>
      <c r="G130" s="22"/>
      <c r="H130" s="22"/>
    </row>
    <row r="132" spans="1:8" x14ac:dyDescent="0.15">
      <c r="H132" s="22"/>
    </row>
  </sheetData>
  <sortState ref="A37:L45">
    <sortCondition ref="B37:B45"/>
  </sortState>
  <phoneticPr fontId="3"/>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27"/>
  <sheetViews>
    <sheetView workbookViewId="0">
      <selection activeCell="B4" sqref="B4:H38"/>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H4" s="22"/>
    </row>
    <row r="6" spans="1:8" x14ac:dyDescent="0.15">
      <c r="D6" s="59"/>
      <c r="H6" s="22"/>
    </row>
    <row r="7" spans="1:8" x14ac:dyDescent="0.15">
      <c r="D7" s="59"/>
      <c r="H7" s="22"/>
    </row>
    <row r="9" spans="1:8" x14ac:dyDescent="0.15">
      <c r="E9" s="1"/>
    </row>
    <row r="10" spans="1:8" x14ac:dyDescent="0.15">
      <c r="D10" s="59"/>
      <c r="E10" s="1"/>
    </row>
    <row r="11" spans="1:8" x14ac:dyDescent="0.15">
      <c r="D11" s="59"/>
    </row>
    <row r="14" spans="1:8" x14ac:dyDescent="0.15">
      <c r="D14" s="59"/>
    </row>
    <row r="15" spans="1:8" x14ac:dyDescent="0.15">
      <c r="D15" s="59"/>
    </row>
    <row r="16" spans="1:8" x14ac:dyDescent="0.15">
      <c r="D16" s="59"/>
      <c r="H16" s="22"/>
    </row>
    <row r="17" spans="1:8" x14ac:dyDescent="0.15">
      <c r="A17" s="22"/>
      <c r="C17" s="6"/>
      <c r="D17" s="59"/>
      <c r="E17" s="1"/>
      <c r="H17" s="22"/>
    </row>
    <row r="18" spans="1:8" x14ac:dyDescent="0.15">
      <c r="D18" s="59"/>
      <c r="H18" s="22"/>
    </row>
    <row r="19" spans="1:8" x14ac:dyDescent="0.15">
      <c r="D19" s="59"/>
      <c r="H19" s="22"/>
    </row>
    <row r="20" spans="1:8" x14ac:dyDescent="0.15">
      <c r="D20" s="59"/>
      <c r="H20" s="22"/>
    </row>
    <row r="22" spans="1:8" x14ac:dyDescent="0.15">
      <c r="D22" s="59"/>
      <c r="H22" s="22"/>
    </row>
    <row r="23" spans="1:8" x14ac:dyDescent="0.15">
      <c r="A23" s="22"/>
      <c r="C23" s="6"/>
      <c r="D23" s="59"/>
      <c r="E23" s="1"/>
      <c r="H23" s="22"/>
    </row>
    <row r="25" spans="1:8" x14ac:dyDescent="0.15">
      <c r="D25" s="59"/>
      <c r="H25" s="22"/>
    </row>
    <row r="26" spans="1:8" x14ac:dyDescent="0.15">
      <c r="D26" s="59"/>
      <c r="H26" s="22"/>
    </row>
    <row r="28" spans="1:8" x14ac:dyDescent="0.15">
      <c r="D28" s="59"/>
      <c r="E28" s="1"/>
    </row>
    <row r="30" spans="1:8" x14ac:dyDescent="0.15">
      <c r="H30" s="22"/>
    </row>
    <row r="31" spans="1:8" x14ac:dyDescent="0.15">
      <c r="D31" s="59"/>
      <c r="H31" s="22"/>
    </row>
    <row r="32" spans="1:8" x14ac:dyDescent="0.15">
      <c r="D32" s="59"/>
      <c r="H32" s="22"/>
    </row>
    <row r="33" spans="1:8" x14ac:dyDescent="0.15">
      <c r="D33" s="59"/>
      <c r="H33" s="22"/>
    </row>
    <row r="37" spans="1:8" x14ac:dyDescent="0.15">
      <c r="D37" s="59"/>
      <c r="H37" s="22"/>
    </row>
    <row r="38" spans="1:8" x14ac:dyDescent="0.15">
      <c r="A38" s="22"/>
      <c r="D38" s="59"/>
      <c r="E38" s="6"/>
    </row>
    <row r="39" spans="1:8" ht="14.25" thickBot="1" x14ac:dyDescent="0.2"/>
    <row r="40" spans="1:8" ht="14.25" thickBot="1" x14ac:dyDescent="0.2">
      <c r="C40" s="4"/>
      <c r="D40" s="69">
        <f>SUM(D4:D38)</f>
        <v>0</v>
      </c>
      <c r="E40" t="s">
        <v>28</v>
      </c>
    </row>
    <row r="41" spans="1:8" x14ac:dyDescent="0.15">
      <c r="C41" s="4"/>
    </row>
    <row r="42" spans="1:8" x14ac:dyDescent="0.15">
      <c r="C42" s="4"/>
    </row>
    <row r="43" spans="1:8" x14ac:dyDescent="0.15">
      <c r="C43" s="4"/>
    </row>
    <row r="45" spans="1:8" x14ac:dyDescent="0.15">
      <c r="C45" s="4"/>
    </row>
    <row r="46" spans="1:8" ht="17.25" x14ac:dyDescent="0.15">
      <c r="A46" s="12" t="s">
        <v>25</v>
      </c>
      <c r="C46" s="4"/>
    </row>
    <row r="47" spans="1:8" ht="13.5" customHeight="1" x14ac:dyDescent="0.15">
      <c r="A47" s="12"/>
      <c r="B47" s="67" t="s">
        <v>6</v>
      </c>
      <c r="C47" s="4" t="s">
        <v>5</v>
      </c>
      <c r="D47" s="2" t="s">
        <v>4</v>
      </c>
      <c r="E47" t="s">
        <v>3</v>
      </c>
      <c r="F47" t="s">
        <v>9</v>
      </c>
      <c r="G47" t="s">
        <v>10</v>
      </c>
      <c r="H47" t="s">
        <v>11</v>
      </c>
    </row>
    <row r="48" spans="1:8" ht="13.5" customHeight="1" x14ac:dyDescent="0.15">
      <c r="D48" s="59"/>
      <c r="H48" s="22"/>
    </row>
    <row r="49" spans="1:8" ht="13.5" customHeight="1" x14ac:dyDescent="0.15">
      <c r="D49" s="59"/>
      <c r="H49" s="22"/>
    </row>
    <row r="50" spans="1:8" ht="13.5" customHeight="1" x14ac:dyDescent="0.15"/>
    <row r="51" spans="1:8" ht="13.5" customHeight="1" x14ac:dyDescent="0.15">
      <c r="A51" s="22"/>
      <c r="D51" s="59"/>
      <c r="E51" s="6"/>
    </row>
    <row r="52" spans="1:8" ht="13.5" customHeight="1" x14ac:dyDescent="0.15">
      <c r="D52" s="59"/>
      <c r="H52" s="22"/>
    </row>
    <row r="53" spans="1:8" ht="13.5" customHeight="1" x14ac:dyDescent="0.15">
      <c r="D53" s="59"/>
      <c r="H53" s="22"/>
    </row>
    <row r="54" spans="1:8" ht="13.5" customHeight="1" x14ac:dyDescent="0.15">
      <c r="D54" s="59"/>
      <c r="H54" s="22"/>
    </row>
    <row r="55" spans="1:8" x14ac:dyDescent="0.15">
      <c r="D55" s="59"/>
      <c r="H55" s="22"/>
    </row>
    <row r="57" spans="1:8" ht="14.25" thickBot="1" x14ac:dyDescent="0.2">
      <c r="E57" s="6"/>
      <c r="F57" s="7"/>
      <c r="G57" s="7"/>
      <c r="H57" s="7"/>
    </row>
    <row r="58" spans="1:8" ht="14.25" thickBot="1" x14ac:dyDescent="0.2">
      <c r="C58" s="4"/>
      <c r="D58" s="69">
        <f>SUM(D48:D57)</f>
        <v>0</v>
      </c>
      <c r="E58" t="s">
        <v>29</v>
      </c>
    </row>
    <row r="59" spans="1:8" x14ac:dyDescent="0.15">
      <c r="C59" s="4"/>
    </row>
    <row r="61" spans="1:8" x14ac:dyDescent="0.15">
      <c r="C61" s="4"/>
    </row>
    <row r="62" spans="1:8" ht="17.25" x14ac:dyDescent="0.15">
      <c r="A62" s="12" t="s">
        <v>27</v>
      </c>
      <c r="C62" s="4"/>
    </row>
    <row r="63" spans="1:8" ht="13.5" customHeight="1" x14ac:dyDescent="0.15">
      <c r="A63" s="12"/>
      <c r="B63" s="67"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69">
        <f>SUM(D64:D72)</f>
        <v>0</v>
      </c>
      <c r="E73" t="s">
        <v>30</v>
      </c>
    </row>
    <row r="75" spans="1:8" x14ac:dyDescent="0.15">
      <c r="C75" s="4"/>
    </row>
    <row r="76" spans="1:8" ht="17.25" x14ac:dyDescent="0.15">
      <c r="A76" s="12" t="s">
        <v>26</v>
      </c>
      <c r="C76" s="4"/>
    </row>
    <row r="77" spans="1:8" ht="13.5" customHeight="1" x14ac:dyDescent="0.15">
      <c r="B77" s="67" t="s">
        <v>6</v>
      </c>
      <c r="C77" s="4" t="s">
        <v>5</v>
      </c>
      <c r="D77" s="2" t="s">
        <v>4</v>
      </c>
      <c r="E77" t="s">
        <v>3</v>
      </c>
      <c r="F77" t="s">
        <v>9</v>
      </c>
      <c r="G77" t="s">
        <v>10</v>
      </c>
      <c r="H77" t="s">
        <v>11</v>
      </c>
    </row>
    <row r="78" spans="1:8" ht="14.25" customHeight="1" x14ac:dyDescent="0.15"/>
    <row r="79" spans="1:8" ht="13.5" customHeight="1" x14ac:dyDescent="0.15">
      <c r="D79" s="59"/>
      <c r="H79" s="22"/>
    </row>
    <row r="81" spans="1:8" x14ac:dyDescent="0.15">
      <c r="D81" s="59"/>
      <c r="E81" s="6"/>
      <c r="H81" s="22"/>
    </row>
    <row r="83" spans="1:8" ht="14.25" thickBot="1" x14ac:dyDescent="0.2">
      <c r="C83" s="4"/>
    </row>
    <row r="84" spans="1:8" ht="14.25" thickBot="1" x14ac:dyDescent="0.2">
      <c r="C84" s="4"/>
      <c r="D84" s="69">
        <f>SUM(D77:D83)</f>
        <v>0</v>
      </c>
      <c r="E84" t="s">
        <v>67</v>
      </c>
    </row>
    <row r="85" spans="1:8" x14ac:dyDescent="0.15">
      <c r="C85" s="4"/>
    </row>
    <row r="86" spans="1:8" x14ac:dyDescent="0.15">
      <c r="C86" s="4"/>
    </row>
    <row r="87" spans="1:8" ht="33" customHeight="1" x14ac:dyDescent="0.15">
      <c r="A87" s="12" t="s">
        <v>32</v>
      </c>
      <c r="C87" s="5"/>
      <c r="D87" s="70"/>
    </row>
    <row r="88" spans="1:8" ht="13.5" customHeight="1" x14ac:dyDescent="0.15"/>
    <row r="89" spans="1:8" ht="14.25" thickBot="1" x14ac:dyDescent="0.2">
      <c r="C89" s="14" t="s">
        <v>15</v>
      </c>
      <c r="D89" s="71">
        <f>D84</f>
        <v>0</v>
      </c>
      <c r="E89" s="14" t="s">
        <v>61</v>
      </c>
    </row>
    <row r="90" spans="1:8" ht="14.25" thickTop="1" x14ac:dyDescent="0.15">
      <c r="C90" s="13" t="s">
        <v>45</v>
      </c>
      <c r="D90" s="72">
        <f>D40</f>
        <v>0</v>
      </c>
      <c r="E90" t="s">
        <v>62</v>
      </c>
    </row>
    <row r="91" spans="1:8" x14ac:dyDescent="0.15">
      <c r="C91" s="5" t="s">
        <v>47</v>
      </c>
      <c r="D91" s="72">
        <f>D58</f>
        <v>0</v>
      </c>
      <c r="E91" t="s">
        <v>29</v>
      </c>
    </row>
    <row r="92" spans="1:8" ht="14.25" thickBot="1" x14ac:dyDescent="0.2">
      <c r="C92" s="14" t="s">
        <v>48</v>
      </c>
      <c r="D92" s="73">
        <f>D73</f>
        <v>0</v>
      </c>
      <c r="E92" s="14" t="s">
        <v>63</v>
      </c>
    </row>
    <row r="93" spans="1:8" ht="14.25" thickTop="1" x14ac:dyDescent="0.15">
      <c r="C93" t="s">
        <v>33</v>
      </c>
      <c r="D93" s="74">
        <f>SUM(D90:D92)</f>
        <v>0</v>
      </c>
      <c r="E93" t="s">
        <v>64</v>
      </c>
    </row>
    <row r="95" spans="1:8" x14ac:dyDescent="0.15">
      <c r="C95" t="s">
        <v>32</v>
      </c>
      <c r="D95" s="75">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8"/>
      <c r="C104" s="22"/>
      <c r="D104" s="59"/>
      <c r="E104" s="53"/>
      <c r="F104" s="22"/>
      <c r="G104" s="22"/>
    </row>
    <row r="105" spans="1:7" x14ac:dyDescent="0.15">
      <c r="A105" s="22"/>
      <c r="B105" s="68"/>
      <c r="C105" s="22"/>
      <c r="D105" s="59"/>
      <c r="E105" s="53"/>
      <c r="F105" s="22"/>
      <c r="G105" s="22"/>
    </row>
    <row r="106" spans="1:7" x14ac:dyDescent="0.15">
      <c r="A106" s="22"/>
      <c r="B106" s="68"/>
      <c r="C106" s="22"/>
      <c r="D106" s="59"/>
      <c r="E106" s="53"/>
      <c r="F106" s="22"/>
      <c r="G106" s="22"/>
    </row>
    <row r="107" spans="1:7" x14ac:dyDescent="0.15">
      <c r="A107" s="22"/>
      <c r="B107" s="68"/>
      <c r="C107" s="22"/>
      <c r="D107" s="59"/>
      <c r="E107" s="53"/>
      <c r="F107" s="22"/>
      <c r="G107" s="22"/>
    </row>
    <row r="108" spans="1:7" x14ac:dyDescent="0.15">
      <c r="A108" s="22"/>
      <c r="B108" s="68"/>
      <c r="C108" s="22"/>
      <c r="D108" s="59"/>
      <c r="E108" s="53"/>
      <c r="F108" s="22"/>
      <c r="G108" s="22"/>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22"/>
      <c r="F114" s="22"/>
      <c r="G114" s="22"/>
      <c r="H114" s="22"/>
    </row>
    <row r="115" spans="1:8" x14ac:dyDescent="0.15">
      <c r="A115" s="22"/>
      <c r="B115" s="68"/>
      <c r="C115" s="22"/>
      <c r="D115" s="59"/>
      <c r="E115" s="22"/>
      <c r="F115" s="22"/>
      <c r="G115" s="22"/>
    </row>
    <row r="116" spans="1:8" x14ac:dyDescent="0.15">
      <c r="A116" s="22"/>
      <c r="B116" s="68"/>
      <c r="C116" s="22"/>
      <c r="D116" s="59"/>
      <c r="E116" s="53"/>
      <c r="F116" s="22"/>
      <c r="G116" s="22"/>
    </row>
    <row r="117" spans="1:8" x14ac:dyDescent="0.15">
      <c r="A117" s="22"/>
      <c r="B117" s="68"/>
      <c r="C117" s="22"/>
      <c r="D117" s="59"/>
      <c r="E117" s="22"/>
      <c r="F117" s="22"/>
      <c r="G117" s="22"/>
    </row>
    <row r="118" spans="1:8" x14ac:dyDescent="0.15">
      <c r="A118" s="22"/>
      <c r="B118" s="68"/>
      <c r="C118" s="22"/>
      <c r="D118" s="59"/>
      <c r="E118" s="23"/>
      <c r="F118" s="22"/>
      <c r="G118" s="22"/>
      <c r="H118" s="22"/>
    </row>
    <row r="119" spans="1:8" x14ac:dyDescent="0.15">
      <c r="A119" s="22"/>
      <c r="B119" s="68"/>
      <c r="C119" s="22"/>
      <c r="D119" s="59"/>
      <c r="E119" s="22"/>
      <c r="F119" s="22"/>
      <c r="G119" s="22"/>
    </row>
    <row r="120" spans="1:8" x14ac:dyDescent="0.15">
      <c r="A120" s="22"/>
      <c r="B120" s="68"/>
      <c r="C120" s="22"/>
      <c r="D120" s="59"/>
      <c r="E120" s="22"/>
      <c r="F120" s="22"/>
      <c r="G120" s="22"/>
      <c r="H120" s="22"/>
    </row>
    <row r="121" spans="1:8" x14ac:dyDescent="0.15">
      <c r="A121" s="22"/>
      <c r="B121" s="68"/>
      <c r="C121" s="22"/>
      <c r="D121" s="59"/>
      <c r="E121" s="22"/>
      <c r="F121" s="22"/>
      <c r="G121" s="22"/>
      <c r="H121" s="22"/>
    </row>
    <row r="122" spans="1:8" x14ac:dyDescent="0.15">
      <c r="A122" s="22"/>
      <c r="B122" s="68"/>
      <c r="C122" s="22"/>
      <c r="D122" s="59"/>
      <c r="E122" s="22"/>
      <c r="F122" s="22"/>
      <c r="G122" s="22"/>
      <c r="H122" s="22"/>
    </row>
    <row r="123" spans="1:8" x14ac:dyDescent="0.15">
      <c r="A123" s="22"/>
      <c r="B123" s="68"/>
      <c r="C123" s="22"/>
      <c r="D123" s="59"/>
      <c r="E123" s="23"/>
      <c r="F123" s="22"/>
      <c r="G123" s="22"/>
    </row>
    <row r="124" spans="1:8" x14ac:dyDescent="0.15">
      <c r="A124" s="22"/>
      <c r="B124" s="68"/>
      <c r="C124" s="22"/>
      <c r="D124" s="59"/>
      <c r="E124" s="22"/>
      <c r="F124" s="22"/>
      <c r="G124" s="22"/>
      <c r="H124" s="22"/>
    </row>
    <row r="125" spans="1:8" x14ac:dyDescent="0.15">
      <c r="A125" s="22"/>
      <c r="B125" s="68"/>
      <c r="C125" s="22"/>
      <c r="D125" s="59"/>
      <c r="E125" s="22"/>
      <c r="F125" s="22"/>
      <c r="G125" s="22"/>
      <c r="H125" s="22"/>
    </row>
    <row r="127" spans="1:8" x14ac:dyDescent="0.15">
      <c r="H127" s="22"/>
    </row>
  </sheetData>
  <sortState ref="A35:L37">
    <sortCondition ref="B35:B37"/>
  </sortState>
  <phoneticPr fontId="3"/>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88"/>
  <sheetViews>
    <sheetView topLeftCell="A76" workbookViewId="0">
      <selection activeCell="D97" sqref="D97"/>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6" spans="1:8" x14ac:dyDescent="0.15">
      <c r="D6" s="59"/>
      <c r="H6" s="22"/>
    </row>
    <row r="7" spans="1:8" x14ac:dyDescent="0.15">
      <c r="D7" s="59"/>
    </row>
    <row r="8" spans="1:8" x14ac:dyDescent="0.15">
      <c r="A8" s="22"/>
      <c r="D8" s="59"/>
      <c r="E8" s="6"/>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E14" s="6"/>
      <c r="H14" s="22"/>
    </row>
    <row r="15" spans="1:8" x14ac:dyDescent="0.15">
      <c r="E15" s="1"/>
    </row>
    <row r="16" spans="1:8" x14ac:dyDescent="0.15">
      <c r="D16" s="59"/>
      <c r="H16" s="22"/>
    </row>
    <row r="18" spans="1:8" x14ac:dyDescent="0.15">
      <c r="D18" s="59"/>
      <c r="H18" s="22"/>
    </row>
    <row r="19" spans="1:8" x14ac:dyDescent="0.15">
      <c r="D19" s="59"/>
      <c r="E19" s="1"/>
    </row>
    <row r="21" spans="1:8" x14ac:dyDescent="0.15">
      <c r="D21" s="59"/>
      <c r="E21" s="1"/>
    </row>
    <row r="25" spans="1:8" x14ac:dyDescent="0.15">
      <c r="D25" s="59"/>
      <c r="H25" s="22"/>
    </row>
    <row r="26" spans="1:8" x14ac:dyDescent="0.15">
      <c r="D26" s="59"/>
      <c r="H26" s="22"/>
    </row>
    <row r="27" spans="1:8" x14ac:dyDescent="0.15">
      <c r="D27" s="59"/>
      <c r="H27" s="22"/>
    </row>
    <row r="28" spans="1:8" x14ac:dyDescent="0.15">
      <c r="D28" s="59"/>
      <c r="H28" s="22"/>
    </row>
    <row r="29" spans="1:8" x14ac:dyDescent="0.15">
      <c r="D29" s="59"/>
      <c r="H29" s="22"/>
    </row>
    <row r="30" spans="1:8" x14ac:dyDescent="0.15">
      <c r="A30" s="22"/>
      <c r="C30" s="6"/>
      <c r="D30" s="59"/>
      <c r="E30" s="1"/>
      <c r="H30" s="22"/>
    </row>
    <row r="32" spans="1:8" x14ac:dyDescent="0.15">
      <c r="E32" s="1"/>
    </row>
    <row r="33" spans="1:8" x14ac:dyDescent="0.15">
      <c r="E33" s="1"/>
    </row>
    <row r="34" spans="1:8" ht="14.25" thickBot="1" x14ac:dyDescent="0.2"/>
    <row r="35" spans="1:8" ht="14.25" thickBot="1" x14ac:dyDescent="0.2">
      <c r="C35" s="4"/>
      <c r="D35" s="69">
        <f>SUM(D4:D33)</f>
        <v>0</v>
      </c>
      <c r="E35" t="s">
        <v>204</v>
      </c>
    </row>
    <row r="36" spans="1:8" x14ac:dyDescent="0.15">
      <c r="C36" s="4"/>
    </row>
    <row r="38" spans="1:8" x14ac:dyDescent="0.15">
      <c r="C38" s="4"/>
    </row>
    <row r="39" spans="1:8" ht="17.25" x14ac:dyDescent="0.15">
      <c r="A39" s="12" t="s">
        <v>25</v>
      </c>
      <c r="C39" s="4"/>
    </row>
    <row r="40" spans="1:8" ht="13.5" customHeight="1" x14ac:dyDescent="0.15">
      <c r="A40" s="12"/>
      <c r="B40" s="67" t="s">
        <v>6</v>
      </c>
      <c r="C40" s="4" t="s">
        <v>5</v>
      </c>
      <c r="D40" s="2" t="s">
        <v>4</v>
      </c>
      <c r="E40" t="s">
        <v>3</v>
      </c>
      <c r="F40" t="s">
        <v>9</v>
      </c>
      <c r="G40" t="s">
        <v>10</v>
      </c>
      <c r="H40" t="s">
        <v>11</v>
      </c>
    </row>
    <row r="41" spans="1:8" ht="13.5" customHeight="1" x14ac:dyDescent="0.15">
      <c r="D41" s="59"/>
    </row>
    <row r="42" spans="1:8" ht="13.5" customHeight="1" x14ac:dyDescent="0.15">
      <c r="D42" s="59"/>
      <c r="H42" s="22"/>
    </row>
    <row r="43" spans="1:8" ht="13.5" customHeight="1" x14ac:dyDescent="0.15">
      <c r="D43" s="59"/>
      <c r="H43" s="22"/>
    </row>
    <row r="44" spans="1:8" ht="13.5" customHeight="1" x14ac:dyDescent="0.15">
      <c r="D44" s="59"/>
      <c r="H44" s="22"/>
    </row>
    <row r="45" spans="1:8" ht="13.5" customHeight="1" x14ac:dyDescent="0.15">
      <c r="D45" s="59"/>
      <c r="H45" s="22"/>
    </row>
    <row r="46" spans="1:8" ht="13.5" customHeight="1" x14ac:dyDescent="0.15">
      <c r="D46" s="59"/>
      <c r="H46" s="22"/>
    </row>
    <row r="47" spans="1:8" x14ac:dyDescent="0.15">
      <c r="C47" s="4"/>
    </row>
    <row r="49" spans="1:8" ht="14.25" thickBot="1" x14ac:dyDescent="0.2">
      <c r="E49" s="6"/>
      <c r="F49" s="7"/>
      <c r="G49" s="7"/>
      <c r="H49" s="7"/>
    </row>
    <row r="50" spans="1:8" ht="14.25" thickBot="1" x14ac:dyDescent="0.2">
      <c r="C50" s="4"/>
      <c r="D50" s="69">
        <f>SUM(D41:D49)</f>
        <v>0</v>
      </c>
      <c r="E50" t="s">
        <v>66</v>
      </c>
    </row>
    <row r="52" spans="1:8" x14ac:dyDescent="0.15">
      <c r="C52" s="4"/>
    </row>
    <row r="53" spans="1:8" ht="17.25" x14ac:dyDescent="0.15">
      <c r="A53" s="12" t="s">
        <v>27</v>
      </c>
      <c r="C53" s="4"/>
    </row>
    <row r="54" spans="1:8" ht="13.5" customHeight="1" x14ac:dyDescent="0.15">
      <c r="A54" s="12"/>
      <c r="B54" s="67" t="s">
        <v>6</v>
      </c>
      <c r="C54" s="4" t="s">
        <v>5</v>
      </c>
      <c r="D54" s="2" t="s">
        <v>4</v>
      </c>
      <c r="E54" t="s">
        <v>3</v>
      </c>
      <c r="F54" t="s">
        <v>9</v>
      </c>
      <c r="G54" t="s">
        <v>10</v>
      </c>
      <c r="H54" t="s">
        <v>11</v>
      </c>
    </row>
    <row r="55" spans="1:8" ht="13.5" customHeight="1" x14ac:dyDescent="0.15">
      <c r="A55" s="12"/>
      <c r="E55" s="1"/>
      <c r="H55" s="22"/>
    </row>
    <row r="56" spans="1:8" x14ac:dyDescent="0.15">
      <c r="E56" s="1"/>
    </row>
    <row r="57" spans="1:8" x14ac:dyDescent="0.15">
      <c r="H57" s="22"/>
    </row>
    <row r="58" spans="1:8" x14ac:dyDescent="0.15">
      <c r="E58" s="1"/>
    </row>
    <row r="59" spans="1:8" ht="14.25" thickBot="1" x14ac:dyDescent="0.2"/>
    <row r="60" spans="1:8" ht="14.25" thickBot="1" x14ac:dyDescent="0.2">
      <c r="C60" s="4"/>
      <c r="D60" s="69">
        <f>SUM(D55:D59)</f>
        <v>0</v>
      </c>
      <c r="E60" t="s">
        <v>30</v>
      </c>
    </row>
    <row r="61" spans="1:8" x14ac:dyDescent="0.15">
      <c r="C61" s="4"/>
    </row>
    <row r="62" spans="1:8" ht="17.25" x14ac:dyDescent="0.15">
      <c r="A62" s="12" t="s">
        <v>26</v>
      </c>
      <c r="C62" s="4"/>
    </row>
    <row r="63" spans="1:8" ht="13.5" customHeight="1" x14ac:dyDescent="0.15">
      <c r="B63" s="67" t="s">
        <v>6</v>
      </c>
      <c r="C63" s="4" t="s">
        <v>5</v>
      </c>
      <c r="D63" s="2" t="s">
        <v>4</v>
      </c>
      <c r="E63" t="s">
        <v>3</v>
      </c>
      <c r="F63" t="s">
        <v>9</v>
      </c>
      <c r="G63" t="s">
        <v>10</v>
      </c>
      <c r="H63" t="s">
        <v>11</v>
      </c>
    </row>
    <row r="64" spans="1:8" ht="14.25" customHeight="1" x14ac:dyDescent="0.15"/>
    <row r="65" spans="1:8" ht="13.5" customHeight="1" x14ac:dyDescent="0.15">
      <c r="A65" s="22"/>
      <c r="D65" s="59"/>
      <c r="E65" s="6"/>
    </row>
    <row r="67" spans="1:8" x14ac:dyDescent="0.15">
      <c r="A67" s="22"/>
      <c r="C67" s="6"/>
      <c r="D67" s="59"/>
      <c r="E67" s="1"/>
      <c r="H67" s="22"/>
    </row>
    <row r="68" spans="1:8" x14ac:dyDescent="0.15">
      <c r="C68" s="4"/>
    </row>
    <row r="69" spans="1:8" x14ac:dyDescent="0.15">
      <c r="C69" s="4"/>
    </row>
    <row r="70" spans="1:8" x14ac:dyDescent="0.15">
      <c r="C70" s="4"/>
    </row>
    <row r="71" spans="1:8" x14ac:dyDescent="0.15">
      <c r="C71" s="4"/>
    </row>
    <row r="72" spans="1:8" ht="14.25" thickBot="1" x14ac:dyDescent="0.2">
      <c r="C72" s="4"/>
    </row>
    <row r="73" spans="1:8" ht="14.25" thickBot="1" x14ac:dyDescent="0.2">
      <c r="C73" s="4"/>
      <c r="D73" s="69">
        <f>SUM(D63:D72)</f>
        <v>0</v>
      </c>
      <c r="E73" t="s">
        <v>28</v>
      </c>
    </row>
    <row r="74" spans="1:8" x14ac:dyDescent="0.15">
      <c r="C74" s="4"/>
    </row>
    <row r="75" spans="1:8" x14ac:dyDescent="0.15">
      <c r="C75" s="4"/>
    </row>
    <row r="76" spans="1:8" ht="33" customHeight="1" x14ac:dyDescent="0.15">
      <c r="A76" s="12" t="s">
        <v>32</v>
      </c>
      <c r="C76" s="5"/>
      <c r="D76" s="70"/>
    </row>
    <row r="77" spans="1:8" ht="13.5" customHeight="1" x14ac:dyDescent="0.15"/>
    <row r="78" spans="1:8" ht="14.25" thickBot="1" x14ac:dyDescent="0.2">
      <c r="C78" s="14" t="s">
        <v>15</v>
      </c>
      <c r="D78" s="71">
        <f>D73</f>
        <v>0</v>
      </c>
      <c r="E78" s="14" t="s">
        <v>61</v>
      </c>
    </row>
    <row r="79" spans="1:8" ht="14.25" thickTop="1" x14ac:dyDescent="0.15">
      <c r="C79" s="13" t="s">
        <v>45</v>
      </c>
      <c r="D79" s="72">
        <f>D35</f>
        <v>0</v>
      </c>
      <c r="E79" t="s">
        <v>62</v>
      </c>
    </row>
    <row r="80" spans="1:8" x14ac:dyDescent="0.15">
      <c r="C80" s="5" t="s">
        <v>47</v>
      </c>
      <c r="D80" s="72">
        <f>D50</f>
        <v>0</v>
      </c>
      <c r="E80" t="s">
        <v>66</v>
      </c>
    </row>
    <row r="81" spans="1:5" ht="14.25" thickBot="1" x14ac:dyDescent="0.2">
      <c r="C81" s="14" t="s">
        <v>48</v>
      </c>
      <c r="D81" s="73">
        <f>D60</f>
        <v>0</v>
      </c>
      <c r="E81" s="14" t="s">
        <v>63</v>
      </c>
    </row>
    <row r="82" spans="1:5" ht="14.25" thickTop="1" x14ac:dyDescent="0.15">
      <c r="C82" t="s">
        <v>33</v>
      </c>
      <c r="D82" s="74">
        <f>SUM(D79:D81)</f>
        <v>0</v>
      </c>
      <c r="E82" t="s">
        <v>64</v>
      </c>
    </row>
    <row r="84" spans="1:5" x14ac:dyDescent="0.15">
      <c r="C84" t="s">
        <v>32</v>
      </c>
      <c r="D84" s="75">
        <f>D78+D82</f>
        <v>0</v>
      </c>
      <c r="E84" t="s">
        <v>65</v>
      </c>
    </row>
    <row r="86" spans="1:5" ht="17.25" x14ac:dyDescent="0.15">
      <c r="A86" s="12" t="s">
        <v>49</v>
      </c>
      <c r="C86" s="4"/>
    </row>
    <row r="87" spans="1:5" ht="17.25" x14ac:dyDescent="0.15">
      <c r="A87" s="12"/>
      <c r="C87" s="4" t="s">
        <v>49</v>
      </c>
      <c r="E87" s="3"/>
    </row>
    <row r="88" spans="1:5" x14ac:dyDescent="0.15">
      <c r="C88" s="4" t="s">
        <v>52</v>
      </c>
      <c r="E88" s="3"/>
    </row>
  </sheetData>
  <sortState ref="B143:H223">
    <sortCondition ref="B143:B223"/>
  </sortState>
  <phoneticPr fontId="3"/>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98"/>
  <sheetViews>
    <sheetView topLeftCell="A76" workbookViewId="0">
      <selection activeCell="D104" sqref="D104"/>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B4" s="67">
        <v>43984</v>
      </c>
      <c r="C4" t="s">
        <v>180</v>
      </c>
      <c r="D4" s="2">
        <v>-1000</v>
      </c>
      <c r="E4" t="s">
        <v>181</v>
      </c>
      <c r="F4" t="s">
        <v>2</v>
      </c>
      <c r="G4" t="s">
        <v>1</v>
      </c>
    </row>
    <row r="5" spans="1:8" x14ac:dyDescent="0.15">
      <c r="B5" s="67">
        <v>43984</v>
      </c>
      <c r="C5" t="s">
        <v>180</v>
      </c>
      <c r="D5" s="59">
        <v>-500</v>
      </c>
      <c r="E5" s="1" t="s">
        <v>181</v>
      </c>
      <c r="F5" t="s">
        <v>2</v>
      </c>
      <c r="G5" t="s">
        <v>1</v>
      </c>
    </row>
    <row r="6" spans="1:8" x14ac:dyDescent="0.15">
      <c r="B6" s="67">
        <v>43985</v>
      </c>
      <c r="C6" t="s">
        <v>200</v>
      </c>
      <c r="D6" s="59">
        <v>-930</v>
      </c>
      <c r="E6" t="s">
        <v>21</v>
      </c>
      <c r="F6" t="s">
        <v>2</v>
      </c>
      <c r="G6" t="s">
        <v>2</v>
      </c>
      <c r="H6" s="22"/>
    </row>
    <row r="7" spans="1:8" x14ac:dyDescent="0.15">
      <c r="B7" s="67">
        <v>43986</v>
      </c>
      <c r="C7" t="s">
        <v>179</v>
      </c>
      <c r="D7" s="2">
        <v>-1000</v>
      </c>
      <c r="E7" t="s">
        <v>181</v>
      </c>
      <c r="F7" t="s">
        <v>2</v>
      </c>
      <c r="G7" t="s">
        <v>1</v>
      </c>
    </row>
    <row r="8" spans="1:8" x14ac:dyDescent="0.15">
      <c r="B8" s="67">
        <v>43987</v>
      </c>
      <c r="C8" t="s">
        <v>179</v>
      </c>
      <c r="D8" s="2">
        <v>-1000</v>
      </c>
      <c r="E8" t="s">
        <v>181</v>
      </c>
      <c r="F8" t="s">
        <v>2</v>
      </c>
      <c r="G8" t="s">
        <v>1</v>
      </c>
    </row>
    <row r="9" spans="1:8" x14ac:dyDescent="0.15">
      <c r="B9" s="67">
        <v>43987</v>
      </c>
      <c r="C9" t="s">
        <v>180</v>
      </c>
      <c r="D9" s="59">
        <v>-1000</v>
      </c>
      <c r="E9" s="1" t="s">
        <v>181</v>
      </c>
      <c r="F9" t="s">
        <v>2</v>
      </c>
      <c r="G9" t="s">
        <v>1</v>
      </c>
    </row>
    <row r="10" spans="1:8" x14ac:dyDescent="0.15">
      <c r="B10" s="67">
        <v>43988</v>
      </c>
      <c r="C10" t="s">
        <v>180</v>
      </c>
      <c r="D10" s="2">
        <v>-1000</v>
      </c>
      <c r="E10" t="s">
        <v>181</v>
      </c>
      <c r="F10" t="s">
        <v>2</v>
      </c>
      <c r="G10" t="s">
        <v>1</v>
      </c>
    </row>
    <row r="11" spans="1:8" x14ac:dyDescent="0.15">
      <c r="B11" s="67">
        <v>43989</v>
      </c>
      <c r="C11" t="s">
        <v>180</v>
      </c>
      <c r="D11" s="59">
        <v>-1000</v>
      </c>
      <c r="E11" t="s">
        <v>181</v>
      </c>
      <c r="F11" t="s">
        <v>2</v>
      </c>
      <c r="G11" t="s">
        <v>1</v>
      </c>
      <c r="H11" s="22"/>
    </row>
    <row r="12" spans="1:8" x14ac:dyDescent="0.15">
      <c r="B12" s="67">
        <v>43989</v>
      </c>
      <c r="C12" t="s">
        <v>194</v>
      </c>
      <c r="D12" s="59">
        <v>-1000</v>
      </c>
      <c r="E12" t="s">
        <v>183</v>
      </c>
      <c r="F12" t="s">
        <v>7</v>
      </c>
      <c r="G12" t="s">
        <v>57</v>
      </c>
      <c r="H12" s="22"/>
    </row>
    <row r="13" spans="1:8" x14ac:dyDescent="0.15">
      <c r="B13" s="67">
        <v>43990</v>
      </c>
      <c r="C13" t="s">
        <v>180</v>
      </c>
      <c r="D13" s="2">
        <v>-1000</v>
      </c>
      <c r="E13" s="1" t="s">
        <v>181</v>
      </c>
      <c r="F13" t="s">
        <v>2</v>
      </c>
      <c r="G13" t="s">
        <v>1</v>
      </c>
    </row>
    <row r="14" spans="1:8" x14ac:dyDescent="0.15">
      <c r="B14" s="67">
        <v>43990</v>
      </c>
      <c r="C14" t="s">
        <v>179</v>
      </c>
      <c r="D14" s="59">
        <v>-1000</v>
      </c>
      <c r="E14" t="s">
        <v>181</v>
      </c>
      <c r="F14" t="s">
        <v>2</v>
      </c>
      <c r="G14" t="s">
        <v>1</v>
      </c>
      <c r="H14" s="22"/>
    </row>
    <row r="15" spans="1:8" x14ac:dyDescent="0.15">
      <c r="B15" s="67">
        <v>43992</v>
      </c>
      <c r="C15" t="s">
        <v>179</v>
      </c>
      <c r="D15" s="59">
        <v>-1000</v>
      </c>
      <c r="E15" s="6" t="s">
        <v>181</v>
      </c>
      <c r="F15" t="s">
        <v>2</v>
      </c>
      <c r="G15" t="s">
        <v>1</v>
      </c>
      <c r="H15" s="22"/>
    </row>
    <row r="16" spans="1:8" x14ac:dyDescent="0.15">
      <c r="B16" s="67">
        <v>43993</v>
      </c>
      <c r="C16" t="s">
        <v>180</v>
      </c>
      <c r="D16" s="59">
        <v>-1000</v>
      </c>
      <c r="E16" t="s">
        <v>181</v>
      </c>
      <c r="F16" t="s">
        <v>2</v>
      </c>
      <c r="G16" t="s">
        <v>1</v>
      </c>
      <c r="H16" s="22"/>
    </row>
    <row r="17" spans="1:8" x14ac:dyDescent="0.15">
      <c r="B17" s="67">
        <v>43993</v>
      </c>
      <c r="C17" t="s">
        <v>180</v>
      </c>
      <c r="D17" s="59">
        <v>-1000</v>
      </c>
      <c r="E17" t="s">
        <v>181</v>
      </c>
      <c r="F17" t="s">
        <v>2</v>
      </c>
      <c r="G17" t="s">
        <v>1</v>
      </c>
      <c r="H17" s="22"/>
    </row>
    <row r="18" spans="1:8" x14ac:dyDescent="0.15">
      <c r="A18" s="22"/>
      <c r="B18" s="67">
        <v>43994</v>
      </c>
      <c r="C18" s="6" t="s">
        <v>180</v>
      </c>
      <c r="D18" s="59">
        <v>-1000</v>
      </c>
      <c r="E18" s="1" t="s">
        <v>181</v>
      </c>
      <c r="F18" t="s">
        <v>2</v>
      </c>
      <c r="G18" t="s">
        <v>1</v>
      </c>
      <c r="H18" s="22"/>
    </row>
    <row r="19" spans="1:8" x14ac:dyDescent="0.15">
      <c r="A19" s="22"/>
      <c r="B19" s="67">
        <v>43994</v>
      </c>
      <c r="C19" t="s">
        <v>179</v>
      </c>
      <c r="D19" s="59">
        <v>-1000</v>
      </c>
      <c r="E19" s="6" t="s">
        <v>181</v>
      </c>
      <c r="F19" t="s">
        <v>2</v>
      </c>
      <c r="G19" t="s">
        <v>1</v>
      </c>
    </row>
    <row r="20" spans="1:8" x14ac:dyDescent="0.15">
      <c r="B20" s="67">
        <v>43995</v>
      </c>
      <c r="C20" t="s">
        <v>179</v>
      </c>
      <c r="D20" s="2">
        <v>-1000</v>
      </c>
      <c r="E20" t="s">
        <v>181</v>
      </c>
      <c r="F20" t="s">
        <v>2</v>
      </c>
      <c r="G20" t="s">
        <v>1</v>
      </c>
    </row>
    <row r="21" spans="1:8" x14ac:dyDescent="0.15">
      <c r="B21" s="67">
        <v>43995</v>
      </c>
      <c r="C21" t="s">
        <v>71</v>
      </c>
      <c r="D21" s="59">
        <v>-1000</v>
      </c>
      <c r="E21" t="s">
        <v>181</v>
      </c>
      <c r="F21" t="s">
        <v>60</v>
      </c>
      <c r="G21" t="s">
        <v>71</v>
      </c>
      <c r="H21" s="22"/>
    </row>
    <row r="22" spans="1:8" x14ac:dyDescent="0.15">
      <c r="B22" s="67">
        <v>43995</v>
      </c>
      <c r="C22" t="s">
        <v>191</v>
      </c>
      <c r="D22" s="59">
        <v>-1000</v>
      </c>
      <c r="E22" t="s">
        <v>183</v>
      </c>
      <c r="F22" t="s">
        <v>7</v>
      </c>
      <c r="G22" t="s">
        <v>57</v>
      </c>
      <c r="H22" s="22"/>
    </row>
    <row r="23" spans="1:8" x14ac:dyDescent="0.15">
      <c r="B23" s="67">
        <v>43996</v>
      </c>
      <c r="C23" t="s">
        <v>179</v>
      </c>
      <c r="D23" s="59">
        <v>-1000</v>
      </c>
      <c r="E23" t="s">
        <v>181</v>
      </c>
      <c r="F23" t="s">
        <v>2</v>
      </c>
      <c r="G23" t="s">
        <v>1</v>
      </c>
      <c r="H23" s="22"/>
    </row>
    <row r="24" spans="1:8" x14ac:dyDescent="0.15">
      <c r="B24" s="67">
        <v>43996</v>
      </c>
      <c r="C24" t="s">
        <v>180</v>
      </c>
      <c r="D24" s="59">
        <v>-1000</v>
      </c>
      <c r="E24" t="s">
        <v>181</v>
      </c>
      <c r="F24" t="s">
        <v>2</v>
      </c>
      <c r="G24" t="s">
        <v>1</v>
      </c>
    </row>
    <row r="25" spans="1:8" x14ac:dyDescent="0.15">
      <c r="B25" s="67">
        <v>43998</v>
      </c>
      <c r="C25" t="s">
        <v>179</v>
      </c>
      <c r="D25" s="59">
        <v>-4000</v>
      </c>
      <c r="E25" t="s">
        <v>181</v>
      </c>
      <c r="F25" t="s">
        <v>2</v>
      </c>
      <c r="G25" t="s">
        <v>1</v>
      </c>
      <c r="H25" s="22"/>
    </row>
    <row r="26" spans="1:8" x14ac:dyDescent="0.15">
      <c r="B26" s="67">
        <v>43998</v>
      </c>
      <c r="C26" t="s">
        <v>180</v>
      </c>
      <c r="D26" s="2">
        <v>-1000</v>
      </c>
      <c r="E26" t="s">
        <v>181</v>
      </c>
      <c r="F26" t="s">
        <v>2</v>
      </c>
      <c r="G26" t="s">
        <v>1</v>
      </c>
    </row>
    <row r="27" spans="1:8" x14ac:dyDescent="0.15">
      <c r="B27" s="67">
        <v>43999</v>
      </c>
      <c r="C27" t="s">
        <v>180</v>
      </c>
      <c r="D27" s="59">
        <v>-400</v>
      </c>
      <c r="E27" t="s">
        <v>181</v>
      </c>
      <c r="F27" t="s">
        <v>2</v>
      </c>
      <c r="G27" t="s">
        <v>1</v>
      </c>
      <c r="H27" s="22"/>
    </row>
    <row r="28" spans="1:8" x14ac:dyDescent="0.15">
      <c r="A28" s="22"/>
      <c r="B28" s="67">
        <v>44000</v>
      </c>
      <c r="C28" t="s">
        <v>179</v>
      </c>
      <c r="D28" s="59">
        <v>-400</v>
      </c>
      <c r="E28" s="6" t="s">
        <v>181</v>
      </c>
      <c r="F28" t="s">
        <v>2</v>
      </c>
      <c r="G28" t="s">
        <v>1</v>
      </c>
    </row>
    <row r="29" spans="1:8" x14ac:dyDescent="0.15">
      <c r="B29" s="67">
        <v>44000</v>
      </c>
      <c r="C29" t="s">
        <v>180</v>
      </c>
      <c r="D29" s="2">
        <v>-400</v>
      </c>
      <c r="E29" t="s">
        <v>181</v>
      </c>
      <c r="F29" t="s">
        <v>2</v>
      </c>
      <c r="G29" t="s">
        <v>1</v>
      </c>
    </row>
    <row r="30" spans="1:8" x14ac:dyDescent="0.15">
      <c r="B30" s="67">
        <v>44001</v>
      </c>
      <c r="C30" t="s">
        <v>179</v>
      </c>
      <c r="D30" s="59">
        <v>-400</v>
      </c>
      <c r="E30" t="s">
        <v>181</v>
      </c>
      <c r="F30" t="s">
        <v>2</v>
      </c>
      <c r="G30" t="s">
        <v>1</v>
      </c>
      <c r="H30" s="22"/>
    </row>
    <row r="31" spans="1:8" x14ac:dyDescent="0.15">
      <c r="B31" s="67">
        <v>44001</v>
      </c>
      <c r="C31" t="s">
        <v>180</v>
      </c>
      <c r="D31" s="2">
        <v>-400</v>
      </c>
      <c r="E31" t="s">
        <v>181</v>
      </c>
      <c r="F31" t="s">
        <v>2</v>
      </c>
      <c r="G31" t="s">
        <v>1</v>
      </c>
    </row>
    <row r="32" spans="1:8" x14ac:dyDescent="0.15">
      <c r="B32" s="67">
        <v>44002</v>
      </c>
      <c r="C32" t="s">
        <v>180</v>
      </c>
      <c r="D32" s="2">
        <v>-400</v>
      </c>
      <c r="E32" t="s">
        <v>181</v>
      </c>
      <c r="F32" t="s">
        <v>2</v>
      </c>
      <c r="G32" t="s">
        <v>1</v>
      </c>
    </row>
    <row r="33" spans="2:8" x14ac:dyDescent="0.15">
      <c r="B33" s="67">
        <v>44003</v>
      </c>
      <c r="C33" t="s">
        <v>179</v>
      </c>
      <c r="D33" s="59">
        <v>-3333</v>
      </c>
      <c r="E33" t="s">
        <v>181</v>
      </c>
      <c r="F33" t="s">
        <v>2</v>
      </c>
      <c r="G33" t="s">
        <v>1</v>
      </c>
    </row>
    <row r="34" spans="2:8" x14ac:dyDescent="0.15">
      <c r="B34" s="67">
        <v>44004</v>
      </c>
      <c r="C34" t="s">
        <v>180</v>
      </c>
      <c r="D34" s="59">
        <v>-250</v>
      </c>
      <c r="E34" t="s">
        <v>181</v>
      </c>
      <c r="F34" t="s">
        <v>2</v>
      </c>
      <c r="G34" t="s">
        <v>1</v>
      </c>
      <c r="H34" s="22"/>
    </row>
    <row r="35" spans="2:8" x14ac:dyDescent="0.15">
      <c r="B35" s="67">
        <v>44004</v>
      </c>
      <c r="C35" t="s">
        <v>196</v>
      </c>
      <c r="D35" s="59">
        <v>-830</v>
      </c>
      <c r="E35" t="s">
        <v>21</v>
      </c>
      <c r="F35" t="s">
        <v>2</v>
      </c>
      <c r="G35" t="s">
        <v>2</v>
      </c>
    </row>
    <row r="36" spans="2:8" x14ac:dyDescent="0.15">
      <c r="B36" s="67">
        <v>44005</v>
      </c>
      <c r="C36" t="s">
        <v>189</v>
      </c>
      <c r="D36" s="59">
        <v>-4000</v>
      </c>
      <c r="E36" t="s">
        <v>183</v>
      </c>
      <c r="F36" t="s">
        <v>55</v>
      </c>
      <c r="G36" t="s">
        <v>70</v>
      </c>
      <c r="H36" s="22"/>
    </row>
    <row r="37" spans="2:8" x14ac:dyDescent="0.15">
      <c r="B37" s="67">
        <v>44005</v>
      </c>
      <c r="C37" t="s">
        <v>200</v>
      </c>
      <c r="D37" s="59">
        <v>-800</v>
      </c>
      <c r="E37" t="s">
        <v>21</v>
      </c>
      <c r="F37" t="s">
        <v>2</v>
      </c>
      <c r="G37" t="s">
        <v>2</v>
      </c>
      <c r="H37" s="22"/>
    </row>
    <row r="38" spans="2:8" x14ac:dyDescent="0.15">
      <c r="B38" s="67">
        <v>44005</v>
      </c>
      <c r="C38" t="s">
        <v>198</v>
      </c>
      <c r="D38" s="59">
        <v>-670</v>
      </c>
      <c r="E38" t="s">
        <v>21</v>
      </c>
      <c r="F38" t="s">
        <v>2</v>
      </c>
      <c r="G38" t="s">
        <v>2</v>
      </c>
      <c r="H38" s="22"/>
    </row>
    <row r="39" spans="2:8" x14ac:dyDescent="0.15">
      <c r="B39" s="67">
        <v>44006</v>
      </c>
      <c r="C39" t="s">
        <v>180</v>
      </c>
      <c r="D39" s="2">
        <v>-300</v>
      </c>
      <c r="E39" t="s">
        <v>181</v>
      </c>
      <c r="F39" t="s">
        <v>2</v>
      </c>
      <c r="G39" t="s">
        <v>1</v>
      </c>
    </row>
    <row r="40" spans="2:8" x14ac:dyDescent="0.15">
      <c r="B40" s="67">
        <v>44008</v>
      </c>
      <c r="C40" t="s">
        <v>179</v>
      </c>
      <c r="D40" s="2">
        <v>-3000</v>
      </c>
      <c r="E40" t="s">
        <v>181</v>
      </c>
      <c r="F40" t="s">
        <v>2</v>
      </c>
      <c r="G40" t="s">
        <v>1</v>
      </c>
    </row>
    <row r="41" spans="2:8" x14ac:dyDescent="0.15">
      <c r="B41" s="67">
        <v>44009</v>
      </c>
      <c r="C41" t="s">
        <v>187</v>
      </c>
      <c r="D41" s="59">
        <v>-1000</v>
      </c>
      <c r="E41" t="s">
        <v>182</v>
      </c>
      <c r="F41" t="s">
        <v>2</v>
      </c>
      <c r="G41" t="s">
        <v>2</v>
      </c>
      <c r="H41" s="22"/>
    </row>
    <row r="42" spans="2:8" x14ac:dyDescent="0.15">
      <c r="B42" s="67">
        <v>44010</v>
      </c>
      <c r="C42" t="s">
        <v>179</v>
      </c>
      <c r="D42" s="2">
        <v>-1000</v>
      </c>
      <c r="E42" t="s">
        <v>181</v>
      </c>
      <c r="F42" t="s">
        <v>2</v>
      </c>
      <c r="G42" t="s">
        <v>1</v>
      </c>
    </row>
    <row r="43" spans="2:8" x14ac:dyDescent="0.15">
      <c r="B43" s="67">
        <v>44011</v>
      </c>
      <c r="C43" t="s">
        <v>179</v>
      </c>
      <c r="D43" s="59">
        <v>-1000</v>
      </c>
      <c r="E43" t="s">
        <v>181</v>
      </c>
      <c r="F43" t="s">
        <v>2</v>
      </c>
      <c r="G43" t="s">
        <v>1</v>
      </c>
      <c r="H43" s="22"/>
    </row>
    <row r="44" spans="2:8" x14ac:dyDescent="0.15">
      <c r="E44" s="1"/>
    </row>
    <row r="45" spans="2:8" x14ac:dyDescent="0.15">
      <c r="E45" s="1"/>
    </row>
    <row r="46" spans="2:8" ht="14.25" thickBot="1" x14ac:dyDescent="0.2"/>
    <row r="47" spans="2:8" ht="14.25" thickBot="1" x14ac:dyDescent="0.2">
      <c r="C47" s="4"/>
      <c r="D47" s="69">
        <f>SUM(D4:D45)</f>
        <v>-44013</v>
      </c>
      <c r="E47" t="s">
        <v>204</v>
      </c>
    </row>
    <row r="48" spans="2:8" x14ac:dyDescent="0.15">
      <c r="C48" s="4"/>
    </row>
    <row r="50" spans="1:8" x14ac:dyDescent="0.15">
      <c r="C50" s="4"/>
    </row>
    <row r="51" spans="1:8" ht="17.25" x14ac:dyDescent="0.15">
      <c r="A51" s="12" t="s">
        <v>25</v>
      </c>
      <c r="C51" s="4"/>
    </row>
    <row r="52" spans="1:8" ht="13.5" customHeight="1" x14ac:dyDescent="0.15">
      <c r="A52" s="12"/>
      <c r="B52" s="67" t="s">
        <v>6</v>
      </c>
      <c r="C52" s="4" t="s">
        <v>5</v>
      </c>
      <c r="D52" s="2" t="s">
        <v>4</v>
      </c>
      <c r="E52" t="s">
        <v>3</v>
      </c>
      <c r="F52" t="s">
        <v>9</v>
      </c>
      <c r="G52" t="s">
        <v>10</v>
      </c>
      <c r="H52" t="s">
        <v>11</v>
      </c>
    </row>
    <row r="53" spans="1:8" ht="13.5" customHeight="1" x14ac:dyDescent="0.15">
      <c r="B53" s="67">
        <v>43983</v>
      </c>
      <c r="C53" t="s">
        <v>140</v>
      </c>
      <c r="D53" s="2">
        <v>-55000</v>
      </c>
      <c r="E53" t="s">
        <v>183</v>
      </c>
      <c r="F53" t="s">
        <v>16</v>
      </c>
      <c r="G53" t="s">
        <v>16</v>
      </c>
    </row>
    <row r="54" spans="1:8" ht="13.5" customHeight="1" x14ac:dyDescent="0.15">
      <c r="B54" s="67">
        <v>43992</v>
      </c>
      <c r="C54" t="s">
        <v>37</v>
      </c>
      <c r="D54" s="59">
        <v>-1000</v>
      </c>
      <c r="E54" t="s">
        <v>182</v>
      </c>
      <c r="F54" t="s">
        <v>13</v>
      </c>
      <c r="G54" t="s">
        <v>38</v>
      </c>
      <c r="H54" s="22"/>
    </row>
    <row r="55" spans="1:8" ht="13.5" customHeight="1" x14ac:dyDescent="0.15">
      <c r="B55" s="67">
        <v>43993</v>
      </c>
      <c r="C55" t="s">
        <v>18</v>
      </c>
      <c r="D55" s="59">
        <v>-1000</v>
      </c>
      <c r="E55" t="s">
        <v>183</v>
      </c>
      <c r="F55" t="s">
        <v>13</v>
      </c>
      <c r="G55" t="s">
        <v>19</v>
      </c>
      <c r="H55" s="22"/>
    </row>
    <row r="56" spans="1:8" ht="13.5" customHeight="1" x14ac:dyDescent="0.15">
      <c r="B56" s="67">
        <v>43994</v>
      </c>
      <c r="C56" t="s">
        <v>53</v>
      </c>
      <c r="D56" s="59">
        <v>-500</v>
      </c>
      <c r="E56" t="s">
        <v>182</v>
      </c>
      <c r="F56" t="s">
        <v>7</v>
      </c>
      <c r="G56" t="s">
        <v>57</v>
      </c>
      <c r="H56" s="22"/>
    </row>
    <row r="57" spans="1:8" ht="13.5" customHeight="1" x14ac:dyDescent="0.15">
      <c r="A57" s="22"/>
      <c r="B57" s="67">
        <v>43997</v>
      </c>
      <c r="C57" s="6" t="s">
        <v>12</v>
      </c>
      <c r="D57" s="59">
        <v>-1000</v>
      </c>
      <c r="E57" s="1" t="s">
        <v>182</v>
      </c>
      <c r="F57" t="s">
        <v>13</v>
      </c>
      <c r="G57" t="s">
        <v>14</v>
      </c>
      <c r="H57" s="22"/>
    </row>
    <row r="58" spans="1:8" ht="13.5" customHeight="1" x14ac:dyDescent="0.15">
      <c r="B58" s="67">
        <v>44011</v>
      </c>
      <c r="C58" t="s">
        <v>178</v>
      </c>
      <c r="D58" s="59">
        <v>-1000</v>
      </c>
      <c r="E58" t="s">
        <v>183</v>
      </c>
      <c r="F58" t="s">
        <v>22</v>
      </c>
      <c r="G58" t="s">
        <v>23</v>
      </c>
      <c r="H58" s="22"/>
    </row>
    <row r="59" spans="1:8" x14ac:dyDescent="0.15">
      <c r="C59" s="4"/>
    </row>
    <row r="61" spans="1:8" ht="14.25" thickBot="1" x14ac:dyDescent="0.2">
      <c r="E61" s="6"/>
      <c r="F61" s="7"/>
      <c r="G61" s="7"/>
      <c r="H61" s="7"/>
    </row>
    <row r="62" spans="1:8" ht="14.25" thickBot="1" x14ac:dyDescent="0.2">
      <c r="C62" s="4"/>
      <c r="D62" s="69">
        <f>SUM(D53:D61)</f>
        <v>-59500</v>
      </c>
      <c r="E62" t="s">
        <v>66</v>
      </c>
    </row>
    <row r="64" spans="1:8" x14ac:dyDescent="0.15">
      <c r="C64" s="4"/>
    </row>
    <row r="65" spans="1:8" ht="17.25" x14ac:dyDescent="0.15">
      <c r="A65" s="12" t="s">
        <v>27</v>
      </c>
      <c r="C65" s="4"/>
    </row>
    <row r="66" spans="1:8" ht="13.5" customHeight="1" x14ac:dyDescent="0.15">
      <c r="A66" s="12"/>
      <c r="B66" s="67" t="s">
        <v>6</v>
      </c>
      <c r="C66" s="4" t="s">
        <v>5</v>
      </c>
      <c r="D66" s="2" t="s">
        <v>4</v>
      </c>
      <c r="E66" t="s">
        <v>3</v>
      </c>
      <c r="F66" t="s">
        <v>9</v>
      </c>
      <c r="G66" t="s">
        <v>10</v>
      </c>
      <c r="H66" t="s">
        <v>11</v>
      </c>
    </row>
    <row r="67" spans="1:8" ht="13.5" customHeight="1" x14ac:dyDescent="0.15">
      <c r="A67" s="12"/>
      <c r="E67" s="1"/>
      <c r="H67" s="22"/>
    </row>
    <row r="68" spans="1:8" x14ac:dyDescent="0.15">
      <c r="E68" s="1"/>
    </row>
    <row r="69" spans="1:8" x14ac:dyDescent="0.15">
      <c r="H69" s="22"/>
    </row>
    <row r="70" spans="1:8" x14ac:dyDescent="0.15">
      <c r="E70" s="1"/>
    </row>
    <row r="71" spans="1:8" ht="14.25" thickBot="1" x14ac:dyDescent="0.2"/>
    <row r="72" spans="1:8" ht="14.25" thickBot="1" x14ac:dyDescent="0.2">
      <c r="C72" s="4"/>
      <c r="D72" s="69">
        <f>SUM(D67:D71)</f>
        <v>0</v>
      </c>
      <c r="E72" t="s">
        <v>30</v>
      </c>
    </row>
    <row r="73" spans="1:8" x14ac:dyDescent="0.15">
      <c r="C73" s="4"/>
    </row>
    <row r="74" spans="1:8" ht="17.25" x14ac:dyDescent="0.15">
      <c r="A74" s="12" t="s">
        <v>26</v>
      </c>
      <c r="C74" s="4"/>
    </row>
    <row r="75" spans="1:8" ht="13.5" customHeight="1" x14ac:dyDescent="0.15">
      <c r="B75" s="67" t="s">
        <v>6</v>
      </c>
      <c r="C75" s="4" t="s">
        <v>5</v>
      </c>
      <c r="D75" s="2" t="s">
        <v>4</v>
      </c>
      <c r="E75" t="s">
        <v>3</v>
      </c>
      <c r="F75" t="s">
        <v>9</v>
      </c>
      <c r="G75" t="s">
        <v>10</v>
      </c>
      <c r="H75" t="s">
        <v>11</v>
      </c>
    </row>
    <row r="76" spans="1:8" ht="14.25" customHeight="1" x14ac:dyDescent="0.15">
      <c r="B76" s="67">
        <v>43997</v>
      </c>
      <c r="C76" t="s">
        <v>185</v>
      </c>
      <c r="D76" s="59">
        <v>200000</v>
      </c>
      <c r="E76" t="s">
        <v>183</v>
      </c>
      <c r="F76" t="s">
        <v>15</v>
      </c>
      <c r="G76" t="s">
        <v>185</v>
      </c>
      <c r="H76" s="22"/>
    </row>
    <row r="77" spans="1:8" ht="13.5" customHeight="1" x14ac:dyDescent="0.15">
      <c r="B77" s="67">
        <v>44003</v>
      </c>
      <c r="C77" t="s">
        <v>36</v>
      </c>
      <c r="D77" s="2">
        <v>100</v>
      </c>
      <c r="E77" t="s">
        <v>183</v>
      </c>
      <c r="F77" t="s">
        <v>15</v>
      </c>
      <c r="G77" t="s">
        <v>17</v>
      </c>
    </row>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69">
        <f>SUM(D75:D82)</f>
        <v>200100</v>
      </c>
      <c r="E83" t="s">
        <v>28</v>
      </c>
    </row>
    <row r="84" spans="1:5" x14ac:dyDescent="0.15">
      <c r="C84" s="4"/>
    </row>
    <row r="85" spans="1:5" x14ac:dyDescent="0.15">
      <c r="C85" s="4"/>
    </row>
    <row r="86" spans="1:5" ht="33" customHeight="1" x14ac:dyDescent="0.15">
      <c r="A86" s="12" t="s">
        <v>32</v>
      </c>
      <c r="C86" s="5"/>
      <c r="D86" s="70"/>
    </row>
    <row r="87" spans="1:5" ht="13.5" customHeight="1" x14ac:dyDescent="0.15"/>
    <row r="88" spans="1:5" ht="14.25" thickBot="1" x14ac:dyDescent="0.2">
      <c r="C88" s="14" t="s">
        <v>15</v>
      </c>
      <c r="D88" s="71">
        <f>D83</f>
        <v>200100</v>
      </c>
      <c r="E88" s="14" t="s">
        <v>61</v>
      </c>
    </row>
    <row r="89" spans="1:5" ht="14.25" thickTop="1" x14ac:dyDescent="0.15">
      <c r="C89" s="13" t="s">
        <v>45</v>
      </c>
      <c r="D89" s="72">
        <f>D47</f>
        <v>-44013</v>
      </c>
      <c r="E89" t="s">
        <v>62</v>
      </c>
    </row>
    <row r="90" spans="1:5" x14ac:dyDescent="0.15">
      <c r="C90" s="5" t="s">
        <v>47</v>
      </c>
      <c r="D90" s="72">
        <f>D62</f>
        <v>-59500</v>
      </c>
      <c r="E90" t="s">
        <v>66</v>
      </c>
    </row>
    <row r="91" spans="1:5" ht="14.25" thickBot="1" x14ac:dyDescent="0.2">
      <c r="C91" s="14" t="s">
        <v>48</v>
      </c>
      <c r="D91" s="73">
        <f>D72</f>
        <v>0</v>
      </c>
      <c r="E91" s="14" t="s">
        <v>63</v>
      </c>
    </row>
    <row r="92" spans="1:5" ht="14.25" thickTop="1" x14ac:dyDescent="0.15">
      <c r="C92" t="s">
        <v>33</v>
      </c>
      <c r="D92" s="74">
        <f>SUM(D89:D91)</f>
        <v>-103513</v>
      </c>
      <c r="E92" t="s">
        <v>64</v>
      </c>
    </row>
    <row r="94" spans="1:5" x14ac:dyDescent="0.15">
      <c r="C94" t="s">
        <v>32</v>
      </c>
      <c r="D94" s="75">
        <f>D88+D92</f>
        <v>96587</v>
      </c>
      <c r="E94" t="s">
        <v>65</v>
      </c>
    </row>
    <row r="96" spans="1:5" ht="17.25" x14ac:dyDescent="0.15">
      <c r="A96" s="12" t="s">
        <v>49</v>
      </c>
      <c r="C96" s="4"/>
    </row>
    <row r="97" spans="1:5" ht="17.25" x14ac:dyDescent="0.15">
      <c r="A97" s="12"/>
      <c r="C97" s="4" t="s">
        <v>49</v>
      </c>
      <c r="D97" s="2">
        <f>D98+D94</f>
        <v>5096587</v>
      </c>
      <c r="E97" s="3"/>
    </row>
    <row r="98" spans="1:5" x14ac:dyDescent="0.15">
      <c r="C98" s="4" t="s">
        <v>52</v>
      </c>
      <c r="D98" s="2">
        <v>5000000</v>
      </c>
      <c r="E98" s="3"/>
    </row>
  </sheetData>
  <sortState ref="A109:N110">
    <sortCondition ref="B109:B110"/>
  </sortState>
  <phoneticPr fontId="3"/>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61"/>
  <sheetViews>
    <sheetView topLeftCell="A130" workbookViewId="0">
      <selection activeCell="D160" sqref="D16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23"/>
      <c r="H4" s="22"/>
    </row>
    <row r="5" spans="1:8" x14ac:dyDescent="0.15">
      <c r="D5" s="6"/>
      <c r="H5" s="22"/>
    </row>
    <row r="6" spans="1:8" x14ac:dyDescent="0.15">
      <c r="D6" s="6"/>
      <c r="H6" s="22"/>
    </row>
    <row r="7" spans="1:8" x14ac:dyDescent="0.15">
      <c r="D7" s="6"/>
    </row>
    <row r="8" spans="1:8" x14ac:dyDescent="0.15">
      <c r="D8" s="6"/>
    </row>
    <row r="9" spans="1:8" x14ac:dyDescent="0.15">
      <c r="D9" s="6"/>
      <c r="H9" s="22"/>
    </row>
    <row r="10" spans="1:8" x14ac:dyDescent="0.15">
      <c r="D10" s="23"/>
      <c r="H10" s="22"/>
    </row>
    <row r="11" spans="1:8" x14ac:dyDescent="0.15">
      <c r="D11" s="23"/>
      <c r="H11" s="22"/>
    </row>
    <row r="12" spans="1:8" x14ac:dyDescent="0.15">
      <c r="D12" s="6"/>
    </row>
    <row r="13" spans="1:8" x14ac:dyDescent="0.15">
      <c r="D13" s="23"/>
    </row>
    <row r="14" spans="1:8" x14ac:dyDescent="0.15">
      <c r="D14" s="23"/>
    </row>
    <row r="15" spans="1:8" x14ac:dyDescent="0.15">
      <c r="D15" s="6"/>
    </row>
    <row r="16" spans="1:8" x14ac:dyDescent="0.15">
      <c r="D16" s="6"/>
    </row>
    <row r="17" spans="1:8" x14ac:dyDescent="0.15">
      <c r="D17" s="23"/>
    </row>
    <row r="18" spans="1:8" x14ac:dyDescent="0.15">
      <c r="D18" s="6"/>
    </row>
    <row r="19" spans="1:8" x14ac:dyDescent="0.15">
      <c r="D19" s="23"/>
    </row>
    <row r="20" spans="1:8" x14ac:dyDescent="0.15">
      <c r="D20" s="23"/>
    </row>
    <row r="21" spans="1:8" x14ac:dyDescent="0.15">
      <c r="D21" s="6"/>
    </row>
    <row r="22" spans="1:8" x14ac:dyDescent="0.15">
      <c r="D22" s="6"/>
      <c r="H22" s="22"/>
    </row>
    <row r="23" spans="1:8" x14ac:dyDescent="0.15">
      <c r="B23" s="22"/>
      <c r="C23" s="22"/>
      <c r="D23" s="23"/>
      <c r="E23" s="53"/>
      <c r="F23" s="22"/>
      <c r="G23" s="22"/>
      <c r="H23" s="22"/>
    </row>
    <row r="24" spans="1:8" x14ac:dyDescent="0.15">
      <c r="B24" s="22"/>
      <c r="C24" s="22"/>
      <c r="D24" s="23"/>
      <c r="E24" s="22"/>
      <c r="F24" s="22"/>
      <c r="G24" s="22"/>
      <c r="H24" s="22"/>
    </row>
    <row r="25" spans="1:8" x14ac:dyDescent="0.15">
      <c r="A25" s="22"/>
      <c r="B25" s="22"/>
      <c r="C25" s="23"/>
      <c r="D25" s="23"/>
      <c r="E25" s="53"/>
      <c r="F25" s="22"/>
      <c r="G25" s="22"/>
      <c r="H25" s="22"/>
    </row>
    <row r="26" spans="1:8" x14ac:dyDescent="0.15">
      <c r="D26" s="6"/>
      <c r="E26" s="1"/>
    </row>
    <row r="27" spans="1:8" x14ac:dyDescent="0.15">
      <c r="A27" s="22"/>
      <c r="C27" s="6"/>
      <c r="D27" s="6"/>
      <c r="E27" s="1"/>
      <c r="H27" s="22"/>
    </row>
    <row r="28" spans="1:8" x14ac:dyDescent="0.15">
      <c r="D28" s="6"/>
    </row>
    <row r="29" spans="1:8" x14ac:dyDescent="0.15">
      <c r="C29" s="6"/>
      <c r="D29" s="6"/>
      <c r="E29" s="1"/>
    </row>
    <row r="30" spans="1:8" x14ac:dyDescent="0.15">
      <c r="D30" s="6"/>
      <c r="E30" s="1"/>
    </row>
    <row r="31" spans="1:8" x14ac:dyDescent="0.15">
      <c r="D31" s="6"/>
      <c r="E31" s="1"/>
    </row>
    <row r="32" spans="1:8" x14ac:dyDescent="0.15">
      <c r="D32" s="6"/>
      <c r="E32" s="1"/>
    </row>
    <row r="33" spans="4:5" x14ac:dyDescent="0.15">
      <c r="D33" s="6"/>
      <c r="E33" s="1"/>
    </row>
    <row r="34" spans="4:5" x14ac:dyDescent="0.15">
      <c r="D34" s="6"/>
      <c r="E34" s="1"/>
    </row>
    <row r="35" spans="4:5" x14ac:dyDescent="0.15">
      <c r="D35" s="6"/>
      <c r="E35" s="1"/>
    </row>
    <row r="36" spans="4:5" x14ac:dyDescent="0.15">
      <c r="D36" s="6"/>
      <c r="E36" s="1"/>
    </row>
    <row r="37" spans="4:5" x14ac:dyDescent="0.15">
      <c r="D37" s="6"/>
      <c r="E37" s="1"/>
    </row>
    <row r="38" spans="4:5" x14ac:dyDescent="0.15">
      <c r="D38" s="6"/>
      <c r="E38" s="1"/>
    </row>
    <row r="39" spans="4:5" x14ac:dyDescent="0.15">
      <c r="D39" s="6"/>
      <c r="E39" s="1"/>
    </row>
    <row r="40" spans="4:5" x14ac:dyDescent="0.15">
      <c r="D40" s="6"/>
      <c r="E40" s="1"/>
    </row>
    <row r="41" spans="4:5" x14ac:dyDescent="0.15">
      <c r="D41" s="6"/>
      <c r="E41" s="1"/>
    </row>
    <row r="42" spans="4:5" x14ac:dyDescent="0.15">
      <c r="D42" s="6"/>
      <c r="E42" s="1"/>
    </row>
    <row r="43" spans="4:5" x14ac:dyDescent="0.15">
      <c r="D43" s="6"/>
      <c r="E43" s="1"/>
    </row>
    <row r="44" spans="4:5" x14ac:dyDescent="0.15">
      <c r="D44" s="6"/>
      <c r="E44" s="1"/>
    </row>
    <row r="45" spans="4:5" x14ac:dyDescent="0.15">
      <c r="D45" s="6"/>
      <c r="E45" s="1"/>
    </row>
    <row r="46" spans="4:5" x14ac:dyDescent="0.15">
      <c r="D46" s="6"/>
      <c r="E46" s="1"/>
    </row>
    <row r="47" spans="4:5" x14ac:dyDescent="0.15">
      <c r="D47" s="6"/>
      <c r="E47" s="1"/>
    </row>
    <row r="48" spans="4:5" x14ac:dyDescent="0.15">
      <c r="D48" s="6"/>
      <c r="E48" s="1"/>
    </row>
    <row r="49" spans="4:5" x14ac:dyDescent="0.15">
      <c r="D49" s="6"/>
      <c r="E49" s="1"/>
    </row>
    <row r="50" spans="4:5" x14ac:dyDescent="0.15">
      <c r="D50" s="6"/>
      <c r="E50" s="1"/>
    </row>
    <row r="51" spans="4:5" x14ac:dyDescent="0.15">
      <c r="D51" s="6"/>
      <c r="E51" s="1"/>
    </row>
    <row r="52" spans="4:5" x14ac:dyDescent="0.15">
      <c r="D52" s="6"/>
      <c r="E52" s="1"/>
    </row>
    <row r="53" spans="4:5" x14ac:dyDescent="0.15">
      <c r="D53" s="6"/>
      <c r="E53" s="1"/>
    </row>
    <row r="54" spans="4:5" x14ac:dyDescent="0.15">
      <c r="D54" s="6"/>
      <c r="E54" s="1"/>
    </row>
    <row r="55" spans="4:5" x14ac:dyDescent="0.15">
      <c r="D55" s="6"/>
      <c r="E55" s="1"/>
    </row>
    <row r="56" spans="4:5" x14ac:dyDescent="0.15">
      <c r="D56" s="6"/>
      <c r="E56" s="1"/>
    </row>
    <row r="57" spans="4:5" x14ac:dyDescent="0.15">
      <c r="D57" s="6"/>
      <c r="E57" s="1"/>
    </row>
    <row r="58" spans="4:5" x14ac:dyDescent="0.15">
      <c r="D58" s="6"/>
      <c r="E58" s="1"/>
    </row>
    <row r="59" spans="4:5" x14ac:dyDescent="0.15">
      <c r="D59" s="6"/>
      <c r="E59" s="1"/>
    </row>
    <row r="60" spans="4:5" x14ac:dyDescent="0.15">
      <c r="D60" s="6"/>
      <c r="E60" s="1"/>
    </row>
    <row r="61" spans="4:5" x14ac:dyDescent="0.15">
      <c r="D61" s="6"/>
      <c r="E61" s="1"/>
    </row>
    <row r="62" spans="4:5" x14ac:dyDescent="0.15">
      <c r="D62" s="6"/>
      <c r="E62" s="1"/>
    </row>
    <row r="63" spans="4:5" x14ac:dyDescent="0.15">
      <c r="D63" s="6"/>
      <c r="E63" s="1"/>
    </row>
    <row r="64" spans="4:5" x14ac:dyDescent="0.15">
      <c r="D64" s="6"/>
      <c r="E64" s="1"/>
    </row>
    <row r="65" spans="4:8" x14ac:dyDescent="0.15">
      <c r="D65" s="6"/>
      <c r="E65" s="1"/>
    </row>
    <row r="66" spans="4:8" x14ac:dyDescent="0.15">
      <c r="D66" s="23"/>
      <c r="H66" s="22"/>
    </row>
    <row r="67" spans="4:8" x14ac:dyDescent="0.15">
      <c r="D67" s="23"/>
      <c r="H67" s="22"/>
    </row>
    <row r="68" spans="4:8" x14ac:dyDescent="0.15">
      <c r="D68" s="23"/>
      <c r="H68" s="22"/>
    </row>
    <row r="69" spans="4:8" x14ac:dyDescent="0.15">
      <c r="D69" s="6"/>
      <c r="H69" s="22"/>
    </row>
    <row r="70" spans="4:8" x14ac:dyDescent="0.15">
      <c r="D70" s="6"/>
      <c r="H70" s="22"/>
    </row>
    <row r="71" spans="4:8" x14ac:dyDescent="0.15">
      <c r="D71" s="6"/>
      <c r="H71" s="22"/>
    </row>
    <row r="72" spans="4:8" x14ac:dyDescent="0.15">
      <c r="D72" s="6"/>
      <c r="H72" s="22"/>
    </row>
    <row r="73" spans="4:8" x14ac:dyDescent="0.15">
      <c r="D73" s="6"/>
      <c r="E73" s="6"/>
    </row>
    <row r="74" spans="4:8" x14ac:dyDescent="0.15">
      <c r="D74" s="6"/>
      <c r="H74" s="22"/>
    </row>
    <row r="75" spans="4:8" x14ac:dyDescent="0.15">
      <c r="D75" s="6"/>
      <c r="H75" s="22"/>
    </row>
    <row r="76" spans="4:8" x14ac:dyDescent="0.15">
      <c r="D76" s="6"/>
      <c r="H76" s="22"/>
    </row>
    <row r="77" spans="4:8" x14ac:dyDescent="0.15">
      <c r="D77" s="6"/>
      <c r="H77" s="22"/>
    </row>
    <row r="78" spans="4:8" x14ac:dyDescent="0.15">
      <c r="D78" s="6"/>
    </row>
    <row r="80" spans="4:8" x14ac:dyDescent="0.15">
      <c r="D80" s="6"/>
      <c r="H80" s="22"/>
    </row>
    <row r="81" spans="3:8" x14ac:dyDescent="0.15">
      <c r="D81" s="6"/>
      <c r="H81" s="22"/>
    </row>
    <row r="82" spans="3:8" x14ac:dyDescent="0.15">
      <c r="D82" s="6"/>
      <c r="H82" s="22"/>
    </row>
    <row r="83" spans="3:8" x14ac:dyDescent="0.15">
      <c r="D83" s="6"/>
      <c r="E83" s="1"/>
    </row>
    <row r="84" spans="3:8" x14ac:dyDescent="0.15">
      <c r="D84" s="6"/>
      <c r="E84" s="1"/>
    </row>
    <row r="85" spans="3:8" x14ac:dyDescent="0.15">
      <c r="D85" s="6"/>
      <c r="E85" s="1"/>
    </row>
    <row r="86" spans="3:8" x14ac:dyDescent="0.15">
      <c r="D86" s="6"/>
      <c r="E86" s="1"/>
    </row>
    <row r="87" spans="3:8" x14ac:dyDescent="0.15">
      <c r="D87" s="6"/>
      <c r="E87" s="1"/>
    </row>
    <row r="88" spans="3:8" x14ac:dyDescent="0.15">
      <c r="D88" s="6"/>
      <c r="E88" s="1"/>
    </row>
    <row r="89" spans="3:8" ht="14.25" thickBot="1" x14ac:dyDescent="0.2"/>
    <row r="90" spans="3:8" ht="14.25" thickBot="1" x14ac:dyDescent="0.2">
      <c r="C90" s="4"/>
      <c r="D90" s="9">
        <f>SUM(D4:D88)</f>
        <v>0</v>
      </c>
      <c r="E90" t="s">
        <v>28</v>
      </c>
    </row>
    <row r="91" spans="3:8" x14ac:dyDescent="0.15">
      <c r="C91" s="4"/>
    </row>
    <row r="92" spans="3:8" x14ac:dyDescent="0.15">
      <c r="C92" s="4"/>
    </row>
    <row r="93" spans="3:8" x14ac:dyDescent="0.15">
      <c r="C93" s="4"/>
    </row>
    <row r="94" spans="3:8" x14ac:dyDescent="0.15">
      <c r="C94" s="4"/>
    </row>
    <row r="95" spans="3:8" x14ac:dyDescent="0.15">
      <c r="C95" s="4"/>
    </row>
    <row r="96" spans="3:8" x14ac:dyDescent="0.15">
      <c r="C96" s="4"/>
    </row>
    <row r="98" spans="1:8" x14ac:dyDescent="0.15">
      <c r="C98" s="4"/>
    </row>
    <row r="99" spans="1:8" ht="17.25" x14ac:dyDescent="0.15">
      <c r="A99" s="12" t="s">
        <v>25</v>
      </c>
      <c r="C99" s="4"/>
      <c r="D99" s="6"/>
    </row>
    <row r="100" spans="1:8" ht="13.5" customHeight="1" x14ac:dyDescent="0.15">
      <c r="A100" s="12"/>
      <c r="B100" t="s">
        <v>6</v>
      </c>
      <c r="C100" s="4" t="s">
        <v>5</v>
      </c>
      <c r="D100" s="6" t="s">
        <v>4</v>
      </c>
      <c r="E100" t="s">
        <v>3</v>
      </c>
      <c r="F100" t="s">
        <v>9</v>
      </c>
      <c r="G100" t="s">
        <v>10</v>
      </c>
      <c r="H100" t="s">
        <v>11</v>
      </c>
    </row>
    <row r="101" spans="1:8" x14ac:dyDescent="0.15">
      <c r="C101" s="8"/>
      <c r="D101" s="6"/>
    </row>
    <row r="102" spans="1:8" x14ac:dyDescent="0.15">
      <c r="C102" s="4"/>
      <c r="D102" s="6"/>
    </row>
    <row r="103" spans="1:8" x14ac:dyDescent="0.15">
      <c r="B103" s="22"/>
      <c r="C103" s="22"/>
      <c r="D103" s="6"/>
      <c r="E103" s="53"/>
      <c r="F103" s="22"/>
      <c r="G103" s="22"/>
    </row>
    <row r="104" spans="1:8" x14ac:dyDescent="0.15">
      <c r="C104" s="4"/>
      <c r="D104" s="7"/>
    </row>
    <row r="105" spans="1:8" x14ac:dyDescent="0.15">
      <c r="D105" s="6"/>
    </row>
    <row r="106" spans="1:8" x14ac:dyDescent="0.15">
      <c r="D106" s="6"/>
      <c r="E106" s="6"/>
    </row>
    <row r="107" spans="1:8" x14ac:dyDescent="0.15">
      <c r="C107" s="4"/>
      <c r="D107" s="7"/>
    </row>
    <row r="108" spans="1:8" x14ac:dyDescent="0.15">
      <c r="C108" s="4"/>
      <c r="D108" s="7"/>
    </row>
    <row r="109" spans="1:8" x14ac:dyDescent="0.15">
      <c r="D109" s="6"/>
      <c r="E109" s="6"/>
    </row>
    <row r="110" spans="1:8" ht="14.25" thickBot="1" x14ac:dyDescent="0.2">
      <c r="D110" s="6"/>
      <c r="E110" s="6"/>
    </row>
    <row r="111" spans="1:8" ht="14.25" thickBot="1" x14ac:dyDescent="0.2">
      <c r="C111" s="4"/>
      <c r="D111" s="9">
        <f>SUM(D101:D109)</f>
        <v>0</v>
      </c>
      <c r="E111" t="s">
        <v>29</v>
      </c>
    </row>
    <row r="112" spans="1:8" x14ac:dyDescent="0.15">
      <c r="C112" s="4"/>
      <c r="D112" s="7"/>
    </row>
    <row r="113" spans="1:8" x14ac:dyDescent="0.15">
      <c r="C113" s="4"/>
      <c r="D113" s="7"/>
    </row>
    <row r="115" spans="1:8" x14ac:dyDescent="0.15">
      <c r="C115" s="4"/>
    </row>
    <row r="116" spans="1:8" ht="17.25" x14ac:dyDescent="0.15">
      <c r="A116" s="12" t="s">
        <v>27</v>
      </c>
      <c r="C116" s="4"/>
      <c r="D116" s="6"/>
    </row>
    <row r="117" spans="1:8" ht="13.5" customHeight="1" x14ac:dyDescent="0.15">
      <c r="A117" s="12"/>
      <c r="B117" t="s">
        <v>6</v>
      </c>
      <c r="C117" s="4" t="s">
        <v>5</v>
      </c>
      <c r="D117" s="6" t="s">
        <v>4</v>
      </c>
      <c r="E117" t="s">
        <v>3</v>
      </c>
      <c r="F117" t="s">
        <v>9</v>
      </c>
      <c r="G117" t="s">
        <v>10</v>
      </c>
      <c r="H117" t="s">
        <v>11</v>
      </c>
    </row>
    <row r="118" spans="1:8" ht="13.5" customHeight="1" x14ac:dyDescent="0.15">
      <c r="A118" s="12"/>
      <c r="B118" s="22"/>
      <c r="C118" s="22"/>
      <c r="D118" s="6"/>
      <c r="E118" s="23"/>
      <c r="F118" s="22"/>
      <c r="G118" s="22"/>
      <c r="H118" s="22"/>
    </row>
    <row r="119" spans="1:8" x14ac:dyDescent="0.15">
      <c r="D119" s="6"/>
      <c r="E119" s="1"/>
    </row>
    <row r="120" spans="1:8" x14ac:dyDescent="0.15">
      <c r="D120" s="6"/>
      <c r="H120" s="22"/>
    </row>
    <row r="121" spans="1:8" x14ac:dyDescent="0.15">
      <c r="D121" s="6"/>
      <c r="E121" s="1"/>
    </row>
    <row r="122" spans="1:8" x14ac:dyDescent="0.15">
      <c r="C122" s="4"/>
      <c r="D122" s="6"/>
    </row>
    <row r="123" spans="1:8" x14ac:dyDescent="0.15">
      <c r="D123" s="6"/>
    </row>
    <row r="124" spans="1:8" x14ac:dyDescent="0.15">
      <c r="D124" s="6"/>
      <c r="E124" s="1"/>
    </row>
    <row r="125" spans="1:8" ht="14.25" thickBot="1" x14ac:dyDescent="0.2">
      <c r="D125" s="6"/>
    </row>
    <row r="126" spans="1:8" ht="14.25" thickBot="1" x14ac:dyDescent="0.2">
      <c r="C126" s="4"/>
      <c r="D126" s="9">
        <f>SUM(D118:D124)</f>
        <v>0</v>
      </c>
      <c r="E126" t="s">
        <v>30</v>
      </c>
    </row>
    <row r="127" spans="1:8" x14ac:dyDescent="0.15">
      <c r="C127" s="4"/>
      <c r="D127" s="6"/>
    </row>
    <row r="129" spans="1:8" x14ac:dyDescent="0.15">
      <c r="C129" s="4"/>
    </row>
    <row r="130" spans="1:8" ht="17.25" x14ac:dyDescent="0.15">
      <c r="A130" s="12" t="s">
        <v>26</v>
      </c>
      <c r="C130" s="4"/>
      <c r="D130" s="6"/>
    </row>
    <row r="131" spans="1:8" ht="13.5" customHeight="1" x14ac:dyDescent="0.15">
      <c r="A131" s="12"/>
      <c r="B131" t="s">
        <v>6</v>
      </c>
      <c r="C131" s="4" t="s">
        <v>5</v>
      </c>
      <c r="D131" s="6" t="s">
        <v>4</v>
      </c>
      <c r="E131" t="s">
        <v>3</v>
      </c>
      <c r="F131" t="s">
        <v>9</v>
      </c>
      <c r="G131" t="s">
        <v>10</v>
      </c>
      <c r="H131" t="s">
        <v>11</v>
      </c>
    </row>
    <row r="132" spans="1:8" ht="17.25" x14ac:dyDescent="0.15">
      <c r="A132" s="12"/>
      <c r="D132" s="6"/>
      <c r="E132" s="1"/>
    </row>
    <row r="133" spans="1:8" ht="13.5" customHeight="1" x14ac:dyDescent="0.15">
      <c r="D133" s="6"/>
      <c r="E133" s="1"/>
    </row>
    <row r="134" spans="1:8" x14ac:dyDescent="0.15">
      <c r="D134" s="6"/>
      <c r="E134" s="1"/>
    </row>
    <row r="135" spans="1:8" x14ac:dyDescent="0.15">
      <c r="D135" s="59"/>
    </row>
    <row r="136" spans="1:8" x14ac:dyDescent="0.15">
      <c r="D136" s="58"/>
    </row>
    <row r="137" spans="1:8" x14ac:dyDescent="0.15">
      <c r="D137" s="21"/>
    </row>
    <row r="138" spans="1:8" x14ac:dyDescent="0.15">
      <c r="D138" s="6"/>
      <c r="E138" s="1"/>
    </row>
    <row r="139" spans="1:8" ht="14.25" thickBot="1" x14ac:dyDescent="0.2">
      <c r="D139" s="21"/>
    </row>
    <row r="140" spans="1:8" ht="14.25" thickBot="1" x14ac:dyDescent="0.2">
      <c r="D140" s="10">
        <f>SUM(D132:D139)</f>
        <v>0</v>
      </c>
      <c r="E140" t="s">
        <v>31</v>
      </c>
    </row>
    <row r="141" spans="1:8" x14ac:dyDescent="0.15">
      <c r="D141" s="11"/>
    </row>
    <row r="142" spans="1:8" x14ac:dyDescent="0.15">
      <c r="C142" s="1"/>
    </row>
    <row r="145" spans="1:7" ht="33" customHeight="1" x14ac:dyDescent="0.15">
      <c r="A145" s="12" t="s">
        <v>32</v>
      </c>
      <c r="C145" s="5"/>
      <c r="D145" s="16"/>
    </row>
    <row r="146" spans="1:7" ht="13.5" customHeight="1" x14ac:dyDescent="0.15"/>
    <row r="147" spans="1:7" ht="14.25" thickBot="1" x14ac:dyDescent="0.2">
      <c r="C147" s="14" t="str">
        <f>A130</f>
        <v>収入</v>
      </c>
      <c r="D147" s="15">
        <f>D140</f>
        <v>0</v>
      </c>
      <c r="E147" s="14" t="str">
        <f>E140</f>
        <v>(d)</v>
      </c>
    </row>
    <row r="148" spans="1:7" ht="14.25" thickTop="1" x14ac:dyDescent="0.15">
      <c r="C148" s="13" t="str">
        <f>A1</f>
        <v>雑費</v>
      </c>
      <c r="D148" s="17">
        <f>D90</f>
        <v>0</v>
      </c>
      <c r="E148" t="str">
        <f>E90</f>
        <v>(a)</v>
      </c>
      <c r="G148" s="1"/>
    </row>
    <row r="149" spans="1:7" x14ac:dyDescent="0.15">
      <c r="C149" s="5" t="str">
        <f>A99</f>
        <v>固定費</v>
      </c>
      <c r="D149" s="17">
        <f>D111</f>
        <v>0</v>
      </c>
      <c r="E149" t="str">
        <f>E111</f>
        <v>(b)</v>
      </c>
      <c r="G149" s="1"/>
    </row>
    <row r="150" spans="1:7" ht="14.25" thickBot="1" x14ac:dyDescent="0.2">
      <c r="C150" s="14" t="str">
        <f>A116</f>
        <v>特別経費</v>
      </c>
      <c r="D150" s="18">
        <f>D126</f>
        <v>0</v>
      </c>
      <c r="E150" s="14" t="str">
        <f>E126</f>
        <v>(c)</v>
      </c>
    </row>
    <row r="151" spans="1:7" ht="14.25" thickTop="1" x14ac:dyDescent="0.15">
      <c r="C151" t="s">
        <v>33</v>
      </c>
      <c r="D151" s="19">
        <f>SUM(D148:D150)</f>
        <v>0</v>
      </c>
      <c r="E151" t="s">
        <v>34</v>
      </c>
      <c r="F151" s="7"/>
      <c r="G151" s="1"/>
    </row>
    <row r="152" spans="1:7" x14ac:dyDescent="0.15">
      <c r="G152" s="7"/>
    </row>
    <row r="153" spans="1:7" x14ac:dyDescent="0.15">
      <c r="C153" t="s">
        <v>32</v>
      </c>
      <c r="D153" s="20">
        <f>D147+D151</f>
        <v>0</v>
      </c>
      <c r="E153" t="s">
        <v>35</v>
      </c>
      <c r="F153" s="20"/>
      <c r="G153" s="7"/>
    </row>
    <row r="155" spans="1:7" x14ac:dyDescent="0.15">
      <c r="D155" s="7">
        <f>D153-D154</f>
        <v>0</v>
      </c>
    </row>
    <row r="156" spans="1:7" x14ac:dyDescent="0.15">
      <c r="F156" s="7"/>
      <c r="G156" s="1"/>
    </row>
    <row r="158" spans="1:7" ht="17.25" x14ac:dyDescent="0.15">
      <c r="A158" s="12" t="s">
        <v>49</v>
      </c>
      <c r="C158" s="4"/>
      <c r="D158" s="6"/>
    </row>
    <row r="159" spans="1:7" ht="17.25" x14ac:dyDescent="0.15">
      <c r="A159" s="12"/>
      <c r="C159" s="4" t="s">
        <v>49</v>
      </c>
      <c r="D159" s="6"/>
      <c r="E159" s="3"/>
    </row>
    <row r="160" spans="1:7" x14ac:dyDescent="0.15">
      <c r="C160" s="4" t="s">
        <v>52</v>
      </c>
      <c r="D160" s="6"/>
      <c r="E160" s="3"/>
    </row>
    <row r="161" spans="3:4" x14ac:dyDescent="0.15">
      <c r="C161" s="4"/>
      <c r="D161" s="6"/>
    </row>
  </sheetData>
  <sortState ref="A169:N222">
    <sortCondition ref="B169:B222"/>
  </sortState>
  <phoneticPr fontId="3"/>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98"/>
  <sheetViews>
    <sheetView workbookViewId="0">
      <selection activeCell="C17" sqref="C16:C17"/>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H4" s="22"/>
    </row>
    <row r="5" spans="1:8" x14ac:dyDescent="0.15">
      <c r="D5" s="59"/>
      <c r="H5" s="22"/>
    </row>
    <row r="6" spans="1:8" x14ac:dyDescent="0.15">
      <c r="D6" s="59"/>
      <c r="H6" s="22"/>
    </row>
    <row r="7" spans="1:8" x14ac:dyDescent="0.15">
      <c r="A7" s="22"/>
      <c r="C7" s="6"/>
      <c r="D7" s="59"/>
      <c r="E7" s="1"/>
      <c r="H7" s="22"/>
    </row>
    <row r="8" spans="1:8" x14ac:dyDescent="0.15">
      <c r="D8" s="59"/>
      <c r="H8" s="22"/>
    </row>
    <row r="10" spans="1:8" x14ac:dyDescent="0.15">
      <c r="A10" s="22"/>
      <c r="C10" s="6"/>
      <c r="D10" s="59"/>
      <c r="E10" s="1"/>
      <c r="H10" s="22"/>
    </row>
    <row r="11" spans="1:8" x14ac:dyDescent="0.15">
      <c r="E11" s="1"/>
    </row>
    <row r="12" spans="1:8" x14ac:dyDescent="0.15">
      <c r="D12" s="59"/>
      <c r="H12" s="22"/>
    </row>
    <row r="13" spans="1:8" x14ac:dyDescent="0.15">
      <c r="D13" s="59"/>
      <c r="H13" s="22"/>
    </row>
    <row r="15" spans="1:8" x14ac:dyDescent="0.15">
      <c r="D15" s="59"/>
      <c r="H15" s="22"/>
    </row>
    <row r="17" spans="1:8" x14ac:dyDescent="0.15">
      <c r="D17" s="59"/>
      <c r="H17" s="22"/>
    </row>
    <row r="18" spans="1:8" x14ac:dyDescent="0.15">
      <c r="D18" s="59"/>
    </row>
    <row r="19" spans="1:8" x14ac:dyDescent="0.15">
      <c r="D19" s="59"/>
      <c r="H19" s="22"/>
    </row>
    <row r="20" spans="1:8" x14ac:dyDescent="0.15">
      <c r="D20" s="59"/>
      <c r="H20" s="22"/>
    </row>
    <row r="21" spans="1:8" x14ac:dyDescent="0.15">
      <c r="D21" s="59"/>
      <c r="H21" s="22"/>
    </row>
    <row r="23" spans="1:8" x14ac:dyDescent="0.15">
      <c r="D23" s="59"/>
    </row>
    <row r="25" spans="1:8" x14ac:dyDescent="0.15">
      <c r="D25" s="59"/>
      <c r="H25" s="22"/>
    </row>
    <row r="26" spans="1:8" x14ac:dyDescent="0.15">
      <c r="D26" s="59"/>
      <c r="H26" s="22"/>
    </row>
    <row r="27" spans="1:8" x14ac:dyDescent="0.15">
      <c r="A27" s="22"/>
      <c r="D27" s="59"/>
      <c r="E27" s="6"/>
    </row>
    <row r="28" spans="1:8" x14ac:dyDescent="0.15">
      <c r="D28" s="59"/>
      <c r="E28" s="1"/>
    </row>
    <row r="29" spans="1:8" x14ac:dyDescent="0.15">
      <c r="D29" s="59"/>
      <c r="H29" s="22"/>
    </row>
    <row r="30" spans="1:8" x14ac:dyDescent="0.15">
      <c r="D30" s="59"/>
      <c r="H30" s="22"/>
    </row>
    <row r="31" spans="1:8" x14ac:dyDescent="0.15">
      <c r="D31" s="59"/>
      <c r="E31" s="6"/>
      <c r="H31" s="22"/>
    </row>
    <row r="35" spans="1:8" x14ac:dyDescent="0.15">
      <c r="D35" s="59"/>
      <c r="H35" s="22"/>
    </row>
    <row r="36" spans="1:8" x14ac:dyDescent="0.15">
      <c r="A36" s="22"/>
      <c r="D36" s="59"/>
      <c r="E36" s="6"/>
    </row>
    <row r="37" spans="1:8" x14ac:dyDescent="0.15">
      <c r="D37" s="59"/>
      <c r="H37" s="22"/>
    </row>
    <row r="38" spans="1:8" x14ac:dyDescent="0.15">
      <c r="D38" s="59"/>
      <c r="H38" s="22"/>
    </row>
    <row r="42" spans="1:8" x14ac:dyDescent="0.15">
      <c r="D42" s="59"/>
      <c r="H42" s="22"/>
    </row>
    <row r="43" spans="1:8" x14ac:dyDescent="0.15">
      <c r="E43" s="1"/>
    </row>
    <row r="44" spans="1:8" x14ac:dyDescent="0.15">
      <c r="E44" s="1"/>
    </row>
    <row r="45" spans="1:8" ht="14.25" thickBot="1" x14ac:dyDescent="0.2"/>
    <row r="46" spans="1:8" ht="14.25" thickBot="1" x14ac:dyDescent="0.2">
      <c r="C46" s="4"/>
      <c r="D46" s="69">
        <f>SUM(D4:D44)</f>
        <v>0</v>
      </c>
      <c r="E46" t="s">
        <v>28</v>
      </c>
    </row>
    <row r="47" spans="1:8" x14ac:dyDescent="0.15">
      <c r="C47" s="4"/>
    </row>
    <row r="49" spans="1:8" x14ac:dyDescent="0.15">
      <c r="C49" s="4"/>
    </row>
    <row r="50" spans="1:8" ht="17.25" x14ac:dyDescent="0.15">
      <c r="A50" s="12" t="s">
        <v>25</v>
      </c>
      <c r="C50" s="4"/>
    </row>
    <row r="51" spans="1:8" ht="13.5" customHeight="1" x14ac:dyDescent="0.15">
      <c r="A51" s="12"/>
      <c r="B51" s="67" t="s">
        <v>6</v>
      </c>
      <c r="C51" s="4" t="s">
        <v>5</v>
      </c>
      <c r="D51" s="2" t="s">
        <v>4</v>
      </c>
      <c r="E51" t="s">
        <v>3</v>
      </c>
      <c r="F51" t="s">
        <v>9</v>
      </c>
      <c r="G51" t="s">
        <v>10</v>
      </c>
      <c r="H51" t="s">
        <v>11</v>
      </c>
    </row>
    <row r="52" spans="1:8" ht="13.5" customHeight="1" x14ac:dyDescent="0.15">
      <c r="D52" s="59"/>
      <c r="H52" s="22"/>
    </row>
    <row r="53" spans="1:8" ht="13.5" customHeight="1" x14ac:dyDescent="0.15">
      <c r="D53" s="59"/>
      <c r="H53" s="22"/>
    </row>
    <row r="54" spans="1:8" ht="13.5" customHeight="1" x14ac:dyDescent="0.15">
      <c r="H54" s="22"/>
    </row>
    <row r="55" spans="1:8" ht="13.5" customHeight="1" x14ac:dyDescent="0.15">
      <c r="D55" s="59"/>
      <c r="H55" s="22"/>
    </row>
    <row r="56" spans="1:8" ht="13.5" customHeight="1" x14ac:dyDescent="0.15"/>
    <row r="57" spans="1:8" ht="13.5" customHeight="1" x14ac:dyDescent="0.15">
      <c r="D57" s="59"/>
    </row>
    <row r="58" spans="1:8" ht="13.5" customHeight="1" x14ac:dyDescent="0.15">
      <c r="D58" s="59"/>
      <c r="H58" s="22"/>
    </row>
    <row r="60" spans="1:8" x14ac:dyDescent="0.15">
      <c r="C60" s="4"/>
    </row>
    <row r="62" spans="1:8" ht="14.25" thickBot="1" x14ac:dyDescent="0.2">
      <c r="E62" s="6"/>
      <c r="F62" s="7"/>
      <c r="G62" s="7"/>
      <c r="H62" s="7"/>
    </row>
    <row r="63" spans="1:8" ht="14.25" thickBot="1" x14ac:dyDescent="0.2">
      <c r="C63" s="4"/>
      <c r="D63" s="69">
        <f>SUM(D52:D62)</f>
        <v>0</v>
      </c>
      <c r="E63" t="s">
        <v>29</v>
      </c>
    </row>
    <row r="65" spans="1:8" x14ac:dyDescent="0.15">
      <c r="C65" s="4"/>
    </row>
    <row r="66" spans="1:8" ht="17.25" x14ac:dyDescent="0.15">
      <c r="A66" s="12" t="s">
        <v>27</v>
      </c>
      <c r="C66" s="4"/>
    </row>
    <row r="67" spans="1:8" ht="13.5" customHeight="1" x14ac:dyDescent="0.15">
      <c r="A67" s="12"/>
      <c r="B67" s="67" t="s">
        <v>6</v>
      </c>
      <c r="C67" s="4" t="s">
        <v>5</v>
      </c>
      <c r="D67" s="2" t="s">
        <v>4</v>
      </c>
      <c r="E67" t="s">
        <v>3</v>
      </c>
      <c r="F67" t="s">
        <v>9</v>
      </c>
      <c r="G67" t="s">
        <v>10</v>
      </c>
      <c r="H67" t="s">
        <v>11</v>
      </c>
    </row>
    <row r="68" spans="1:8" x14ac:dyDescent="0.15">
      <c r="D68" s="59"/>
      <c r="H68" s="22"/>
    </row>
    <row r="69" spans="1:8" x14ac:dyDescent="0.15">
      <c r="H69" s="22"/>
    </row>
    <row r="70" spans="1:8" x14ac:dyDescent="0.15">
      <c r="E70" s="1"/>
    </row>
    <row r="71" spans="1:8" ht="14.25" thickBot="1" x14ac:dyDescent="0.2"/>
    <row r="72" spans="1:8" ht="14.25" thickBot="1" x14ac:dyDescent="0.2">
      <c r="C72" s="4"/>
      <c r="D72" s="69">
        <f>SUM(D68:D71)</f>
        <v>0</v>
      </c>
      <c r="E72" t="s">
        <v>30</v>
      </c>
    </row>
    <row r="73" spans="1:8" x14ac:dyDescent="0.15">
      <c r="C73" s="4"/>
    </row>
    <row r="74" spans="1:8" ht="17.25" x14ac:dyDescent="0.15">
      <c r="A74" s="12" t="s">
        <v>26</v>
      </c>
      <c r="C74" s="4"/>
    </row>
    <row r="75" spans="1:8" ht="13.5" customHeight="1" x14ac:dyDescent="0.15">
      <c r="B75" s="67" t="s">
        <v>6</v>
      </c>
      <c r="C75" s="4" t="s">
        <v>5</v>
      </c>
      <c r="D75" s="2" t="s">
        <v>4</v>
      </c>
      <c r="E75" t="s">
        <v>3</v>
      </c>
      <c r="F75" t="s">
        <v>9</v>
      </c>
      <c r="G75" t="s">
        <v>10</v>
      </c>
      <c r="H75" t="s">
        <v>11</v>
      </c>
    </row>
    <row r="76" spans="1:8" ht="14.25" customHeight="1" x14ac:dyDescent="0.15">
      <c r="D76" s="59"/>
      <c r="E76" s="1"/>
    </row>
    <row r="77" spans="1:8" ht="13.5" customHeight="1" x14ac:dyDescent="0.15"/>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69">
        <f>SUM(D75:D82)</f>
        <v>0</v>
      </c>
      <c r="E83" t="s">
        <v>67</v>
      </c>
    </row>
    <row r="84" spans="1:5" x14ac:dyDescent="0.15">
      <c r="C84" s="4"/>
    </row>
    <row r="85" spans="1:5" x14ac:dyDescent="0.15">
      <c r="C85" s="4"/>
    </row>
    <row r="86" spans="1:5" ht="33" customHeight="1" x14ac:dyDescent="0.15">
      <c r="A86" s="12" t="s">
        <v>32</v>
      </c>
      <c r="C86" s="5"/>
      <c r="D86" s="70"/>
    </row>
    <row r="87" spans="1:5" ht="13.5" customHeight="1" x14ac:dyDescent="0.15"/>
    <row r="88" spans="1:5" ht="14.25" thickBot="1" x14ac:dyDescent="0.2">
      <c r="C88" s="14" t="s">
        <v>15</v>
      </c>
      <c r="D88" s="71">
        <f>D83</f>
        <v>0</v>
      </c>
      <c r="E88" s="14" t="s">
        <v>61</v>
      </c>
    </row>
    <row r="89" spans="1:5" ht="14.25" thickTop="1" x14ac:dyDescent="0.15">
      <c r="C89" s="13" t="s">
        <v>45</v>
      </c>
      <c r="D89" s="72">
        <f>D46</f>
        <v>0</v>
      </c>
      <c r="E89" t="s">
        <v>62</v>
      </c>
    </row>
    <row r="90" spans="1:5" x14ac:dyDescent="0.15">
      <c r="C90" s="5" t="s">
        <v>47</v>
      </c>
      <c r="D90" s="72">
        <f>D63</f>
        <v>0</v>
      </c>
      <c r="E90" t="s">
        <v>29</v>
      </c>
    </row>
    <row r="91" spans="1:5" ht="14.25" thickBot="1" x14ac:dyDescent="0.2">
      <c r="C91" s="14" t="s">
        <v>48</v>
      </c>
      <c r="D91" s="73">
        <f>D72</f>
        <v>0</v>
      </c>
      <c r="E91" s="14" t="s">
        <v>63</v>
      </c>
    </row>
    <row r="92" spans="1:5" ht="14.25" thickTop="1" x14ac:dyDescent="0.15">
      <c r="C92" t="s">
        <v>33</v>
      </c>
      <c r="D92" s="74">
        <f>SUM(D89:D91)</f>
        <v>0</v>
      </c>
      <c r="E92" t="s">
        <v>64</v>
      </c>
    </row>
    <row r="94" spans="1:5" x14ac:dyDescent="0.15">
      <c r="C94" t="s">
        <v>32</v>
      </c>
      <c r="D94" s="75">
        <f>D88+D92</f>
        <v>0</v>
      </c>
      <c r="E94" t="s">
        <v>65</v>
      </c>
    </row>
    <row r="96" spans="1:5" ht="17.25" x14ac:dyDescent="0.15">
      <c r="A96" s="12" t="s">
        <v>49</v>
      </c>
      <c r="C96" s="4"/>
    </row>
    <row r="97" spans="1:5" ht="17.25" x14ac:dyDescent="0.15">
      <c r="A97" s="12"/>
      <c r="C97" s="4" t="s">
        <v>49</v>
      </c>
      <c r="E97" s="3"/>
    </row>
    <row r="98" spans="1:5" x14ac:dyDescent="0.15">
      <c r="C98" s="4" t="s">
        <v>52</v>
      </c>
      <c r="E98" s="3"/>
    </row>
  </sheetData>
  <sortState ref="A5:J60">
    <sortCondition ref="B5:B60"/>
  </sortState>
  <phoneticPr fontId="3"/>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120"/>
  <sheetViews>
    <sheetView workbookViewId="0">
      <selection activeCell="D118" sqref="D118:E12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23"/>
      <c r="H5" s="22"/>
    </row>
    <row r="6" spans="1:8" x14ac:dyDescent="0.15">
      <c r="D6" s="6"/>
    </row>
    <row r="7" spans="1:8" x14ac:dyDescent="0.15">
      <c r="D7" s="23"/>
    </row>
    <row r="8" spans="1:8" x14ac:dyDescent="0.15">
      <c r="D8" s="23"/>
    </row>
    <row r="9" spans="1:8" x14ac:dyDescent="0.15">
      <c r="A9" s="22"/>
      <c r="B9" s="22"/>
      <c r="C9" s="23"/>
      <c r="D9" s="23"/>
      <c r="E9" s="53"/>
      <c r="F9" s="22"/>
      <c r="G9" s="22"/>
      <c r="H9" s="22"/>
    </row>
    <row r="10" spans="1:8" x14ac:dyDescent="0.15">
      <c r="D10" s="6"/>
      <c r="H10" s="22"/>
    </row>
    <row r="11" spans="1:8" x14ac:dyDescent="0.15">
      <c r="D11" s="6"/>
    </row>
    <row r="12" spans="1:8" x14ac:dyDescent="0.15">
      <c r="A12" s="22"/>
      <c r="C12" s="6"/>
      <c r="D12" s="6"/>
      <c r="E12" s="1"/>
      <c r="H12" s="22"/>
    </row>
    <row r="13" spans="1:8" x14ac:dyDescent="0.15">
      <c r="D13" s="6"/>
    </row>
    <row r="14" spans="1:8" x14ac:dyDescent="0.15">
      <c r="D14" s="6"/>
      <c r="E14" s="1"/>
    </row>
    <row r="15" spans="1:8" x14ac:dyDescent="0.15">
      <c r="A15" s="22"/>
      <c r="C15" s="6"/>
      <c r="D15" s="6"/>
      <c r="E15" s="1"/>
      <c r="H15" s="22"/>
    </row>
    <row r="16" spans="1:8" x14ac:dyDescent="0.15">
      <c r="D16" s="6"/>
      <c r="E16" s="1"/>
    </row>
    <row r="17" spans="4:8" x14ac:dyDescent="0.15">
      <c r="D17" s="6"/>
      <c r="E17" s="1"/>
    </row>
    <row r="18" spans="4:8" x14ac:dyDescent="0.15">
      <c r="D18" s="6"/>
      <c r="E18" s="1"/>
    </row>
    <row r="19" spans="4:8" x14ac:dyDescent="0.15">
      <c r="D19" s="6"/>
      <c r="E19" s="1"/>
    </row>
    <row r="20" spans="4:8" x14ac:dyDescent="0.15">
      <c r="D20" s="6"/>
      <c r="E20" s="1"/>
    </row>
    <row r="21" spans="4:8" x14ac:dyDescent="0.15">
      <c r="D21" s="6"/>
      <c r="E21" s="1"/>
    </row>
    <row r="22" spans="4:8" x14ac:dyDescent="0.15">
      <c r="D22" s="6"/>
      <c r="E22" s="1"/>
    </row>
    <row r="23" spans="4:8" x14ac:dyDescent="0.15">
      <c r="D23" s="6"/>
      <c r="E23" s="1"/>
    </row>
    <row r="24" spans="4:8" x14ac:dyDescent="0.15">
      <c r="D24" s="6"/>
      <c r="E24" s="1"/>
    </row>
    <row r="25" spans="4:8" x14ac:dyDescent="0.15">
      <c r="D25" s="6"/>
      <c r="E25" s="6"/>
      <c r="F25" s="1"/>
    </row>
    <row r="26" spans="4:8" x14ac:dyDescent="0.15">
      <c r="D26" s="6"/>
      <c r="E26" s="1"/>
    </row>
    <row r="27" spans="4:8" x14ac:dyDescent="0.15">
      <c r="D27" s="23"/>
      <c r="H27" s="22"/>
    </row>
    <row r="28" spans="4:8" x14ac:dyDescent="0.15">
      <c r="D28" s="6"/>
    </row>
    <row r="29" spans="4:8" x14ac:dyDescent="0.15">
      <c r="D29" s="6"/>
      <c r="E29" s="6"/>
      <c r="H29" s="22"/>
    </row>
    <row r="30" spans="4:8" x14ac:dyDescent="0.15">
      <c r="D30" s="6"/>
    </row>
    <row r="31" spans="4:8" x14ac:dyDescent="0.15">
      <c r="D31" s="6"/>
    </row>
    <row r="32" spans="4:8" x14ac:dyDescent="0.15">
      <c r="D32" s="6"/>
      <c r="H32" s="22"/>
    </row>
    <row r="33" spans="4:8" x14ac:dyDescent="0.15">
      <c r="D33" s="6"/>
      <c r="H33" s="22"/>
    </row>
    <row r="34" spans="4:8" x14ac:dyDescent="0.15">
      <c r="D34" s="23"/>
      <c r="H34" s="22"/>
    </row>
    <row r="35" spans="4:8" x14ac:dyDescent="0.15">
      <c r="D35" s="6"/>
      <c r="H35" s="22"/>
    </row>
    <row r="36" spans="4:8" x14ac:dyDescent="0.15">
      <c r="D36" s="6"/>
      <c r="H36" s="22"/>
    </row>
    <row r="37" spans="4:8" x14ac:dyDescent="0.15">
      <c r="D37" s="6"/>
      <c r="H37" s="22"/>
    </row>
    <row r="38" spans="4:8" x14ac:dyDescent="0.15">
      <c r="D38" s="6"/>
      <c r="H38" s="22"/>
    </row>
    <row r="39" spans="4:8" x14ac:dyDescent="0.15">
      <c r="D39" s="6"/>
      <c r="E39" s="6"/>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row>
    <row r="46" spans="4:8" x14ac:dyDescent="0.15">
      <c r="D46" s="6"/>
      <c r="H46" s="22"/>
    </row>
    <row r="47" spans="4:8" x14ac:dyDescent="0.15">
      <c r="D47" s="6"/>
      <c r="H47" s="22"/>
    </row>
    <row r="48" spans="4:8" x14ac:dyDescent="0.15">
      <c r="D48" s="6"/>
      <c r="H48" s="22"/>
    </row>
    <row r="49" spans="3:5" x14ac:dyDescent="0.15">
      <c r="D49" s="6"/>
      <c r="E49" s="1"/>
    </row>
    <row r="50" spans="3:5" x14ac:dyDescent="0.15">
      <c r="D50" s="6"/>
      <c r="E50" s="1"/>
    </row>
    <row r="51" spans="3:5" x14ac:dyDescent="0.15">
      <c r="D51" s="6"/>
      <c r="E51" s="1"/>
    </row>
    <row r="52" spans="3:5" x14ac:dyDescent="0.15">
      <c r="D52" s="6"/>
      <c r="E52" s="1"/>
    </row>
    <row r="53" spans="3:5" x14ac:dyDescent="0.15">
      <c r="D53" s="6"/>
      <c r="E53" s="1"/>
    </row>
    <row r="54" spans="3:5" x14ac:dyDescent="0.15">
      <c r="D54" s="6"/>
      <c r="E54" s="1"/>
    </row>
    <row r="55" spans="3:5" ht="14.25" thickBot="1" x14ac:dyDescent="0.2"/>
    <row r="56" spans="3:5" ht="14.25" thickBot="1" x14ac:dyDescent="0.2">
      <c r="C56" s="4"/>
      <c r="D56" s="9">
        <f>SUM(D4:D54)</f>
        <v>0</v>
      </c>
      <c r="E56" t="s">
        <v>28</v>
      </c>
    </row>
    <row r="57" spans="3:5" x14ac:dyDescent="0.15">
      <c r="C57" s="4"/>
    </row>
    <row r="58" spans="3:5" x14ac:dyDescent="0.15">
      <c r="C58" s="4"/>
    </row>
    <row r="59" spans="3:5" x14ac:dyDescent="0.15">
      <c r="C59" s="4"/>
    </row>
    <row r="60" spans="3:5" x14ac:dyDescent="0.15">
      <c r="C60" s="4"/>
    </row>
    <row r="61" spans="3:5" x14ac:dyDescent="0.15">
      <c r="C61" s="4"/>
    </row>
    <row r="62" spans="3:5" x14ac:dyDescent="0.15">
      <c r="C62" s="4"/>
    </row>
    <row r="64" spans="3:5" x14ac:dyDescent="0.15">
      <c r="C64" s="4"/>
    </row>
    <row r="65" spans="1:8" ht="17.25" x14ac:dyDescent="0.15">
      <c r="A65" s="12" t="s">
        <v>25</v>
      </c>
      <c r="C65" s="4"/>
      <c r="D65" s="6"/>
    </row>
    <row r="66" spans="1:8" ht="13.5" customHeight="1" x14ac:dyDescent="0.15">
      <c r="A66" s="12"/>
      <c r="B66" t="s">
        <v>6</v>
      </c>
      <c r="C66" s="4" t="s">
        <v>5</v>
      </c>
      <c r="D66" s="6" t="s">
        <v>4</v>
      </c>
      <c r="E66" t="s">
        <v>3</v>
      </c>
      <c r="F66" t="s">
        <v>9</v>
      </c>
      <c r="G66" t="s">
        <v>10</v>
      </c>
      <c r="H66" t="s">
        <v>11</v>
      </c>
    </row>
    <row r="67" spans="1:8" x14ac:dyDescent="0.15">
      <c r="C67" s="8"/>
      <c r="D67" s="23"/>
    </row>
    <row r="68" spans="1:8" x14ac:dyDescent="0.15">
      <c r="C68" s="4"/>
      <c r="D68" s="6"/>
    </row>
    <row r="69" spans="1:8" x14ac:dyDescent="0.15">
      <c r="D69" s="6"/>
      <c r="E69" s="1"/>
    </row>
    <row r="70" spans="1:8" x14ac:dyDescent="0.15">
      <c r="D70" s="6"/>
      <c r="E70" s="1"/>
    </row>
    <row r="71" spans="1:8" x14ac:dyDescent="0.15">
      <c r="D71" s="6"/>
      <c r="E71" s="1"/>
    </row>
    <row r="72" spans="1:8" x14ac:dyDescent="0.15">
      <c r="D72" s="6"/>
      <c r="E72" s="1"/>
    </row>
    <row r="73" spans="1:8" ht="14.25" thickBot="1" x14ac:dyDescent="0.2">
      <c r="D73" s="6"/>
      <c r="E73" s="6"/>
    </row>
    <row r="74" spans="1:8" ht="14.25" thickBot="1" x14ac:dyDescent="0.2">
      <c r="C74" s="4"/>
      <c r="D74" s="9">
        <f>SUM(D67:D72)</f>
        <v>0</v>
      </c>
      <c r="E74" t="s">
        <v>29</v>
      </c>
    </row>
    <row r="75" spans="1:8" x14ac:dyDescent="0.15">
      <c r="C75" s="4"/>
      <c r="D75" s="7"/>
    </row>
    <row r="76" spans="1:8" x14ac:dyDescent="0.15">
      <c r="D76" s="6"/>
      <c r="E76" s="1"/>
    </row>
    <row r="78" spans="1:8" x14ac:dyDescent="0.15">
      <c r="C78" s="4"/>
    </row>
    <row r="79" spans="1:8" ht="17.25" x14ac:dyDescent="0.15">
      <c r="A79" s="12" t="s">
        <v>27</v>
      </c>
      <c r="C79" s="4"/>
      <c r="D79" s="6"/>
    </row>
    <row r="80" spans="1:8" ht="13.5" customHeight="1" x14ac:dyDescent="0.15">
      <c r="A80" s="12"/>
      <c r="B80" t="s">
        <v>6</v>
      </c>
      <c r="C80" s="4" t="s">
        <v>5</v>
      </c>
      <c r="D80" s="6" t="s">
        <v>4</v>
      </c>
      <c r="E80" t="s">
        <v>3</v>
      </c>
      <c r="F80" t="s">
        <v>9</v>
      </c>
      <c r="G80" t="s">
        <v>10</v>
      </c>
      <c r="H80" t="s">
        <v>11</v>
      </c>
    </row>
    <row r="81" spans="1:8" x14ac:dyDescent="0.15">
      <c r="D81" s="6"/>
      <c r="E81" s="1"/>
    </row>
    <row r="82" spans="1:8" x14ac:dyDescent="0.15">
      <c r="C82" s="4"/>
      <c r="D82" s="6"/>
    </row>
    <row r="83" spans="1:8" x14ac:dyDescent="0.15">
      <c r="D83" s="6"/>
    </row>
    <row r="84" spans="1:8" x14ac:dyDescent="0.15">
      <c r="D84" s="6"/>
      <c r="E84" s="1"/>
    </row>
    <row r="85" spans="1:8" ht="14.25" thickBot="1" x14ac:dyDescent="0.2">
      <c r="D85" s="6"/>
    </row>
    <row r="86" spans="1:8" ht="14.25" thickBot="1" x14ac:dyDescent="0.2">
      <c r="C86" s="4"/>
      <c r="D86" s="9">
        <f>SUM(D81:D84)</f>
        <v>0</v>
      </c>
      <c r="E86" t="s">
        <v>30</v>
      </c>
    </row>
    <row r="87" spans="1:8" x14ac:dyDescent="0.15">
      <c r="C87" s="4"/>
      <c r="D87" s="6"/>
    </row>
    <row r="89" spans="1:8" x14ac:dyDescent="0.15">
      <c r="C89" s="4"/>
    </row>
    <row r="90" spans="1:8" ht="17.25" x14ac:dyDescent="0.15">
      <c r="A90" s="12" t="s">
        <v>26</v>
      </c>
      <c r="C90" s="4"/>
      <c r="D90" s="6"/>
    </row>
    <row r="91" spans="1:8" ht="13.5" customHeight="1" x14ac:dyDescent="0.15">
      <c r="A91" s="12"/>
      <c r="B91" t="s">
        <v>6</v>
      </c>
      <c r="C91" s="4" t="s">
        <v>5</v>
      </c>
      <c r="D91" s="6" t="s">
        <v>4</v>
      </c>
      <c r="E91" t="s">
        <v>3</v>
      </c>
      <c r="F91" t="s">
        <v>9</v>
      </c>
      <c r="G91" t="s">
        <v>10</v>
      </c>
      <c r="H91" t="s">
        <v>11</v>
      </c>
    </row>
    <row r="92" spans="1:8" ht="13.5" customHeight="1" x14ac:dyDescent="0.15">
      <c r="D92" s="6"/>
      <c r="E92" s="1"/>
    </row>
    <row r="93" spans="1:8" x14ac:dyDescent="0.15">
      <c r="D93" s="6"/>
      <c r="E93" s="1"/>
    </row>
    <row r="94" spans="1:8" x14ac:dyDescent="0.15">
      <c r="D94" s="6"/>
      <c r="E94" s="1"/>
    </row>
    <row r="95" spans="1:8" x14ac:dyDescent="0.15">
      <c r="D95" s="58"/>
    </row>
    <row r="96" spans="1:8" x14ac:dyDescent="0.15">
      <c r="D96" s="21"/>
    </row>
    <row r="97" spans="1:7" x14ac:dyDescent="0.15">
      <c r="D97" s="6"/>
      <c r="E97" s="1"/>
    </row>
    <row r="98" spans="1:7" ht="14.25" thickBot="1" x14ac:dyDescent="0.2">
      <c r="D98" s="21"/>
    </row>
    <row r="99" spans="1:7" ht="14.25" thickBot="1" x14ac:dyDescent="0.2">
      <c r="D99" s="10">
        <f>SUM(D92:D98)</f>
        <v>0</v>
      </c>
      <c r="E99" t="s">
        <v>31</v>
      </c>
    </row>
    <row r="100" spans="1:7" x14ac:dyDescent="0.15">
      <c r="D100" s="11"/>
    </row>
    <row r="101" spans="1:7" x14ac:dyDescent="0.15">
      <c r="C101" s="1"/>
    </row>
    <row r="104" spans="1:7" ht="33" customHeight="1" x14ac:dyDescent="0.15">
      <c r="A104" s="12" t="s">
        <v>32</v>
      </c>
      <c r="C104" s="5"/>
      <c r="D104" s="16"/>
    </row>
    <row r="105" spans="1:7" ht="13.5" customHeight="1" x14ac:dyDescent="0.15"/>
    <row r="106" spans="1:7" ht="14.25" thickBot="1" x14ac:dyDescent="0.2">
      <c r="C106" s="14" t="str">
        <f>A90</f>
        <v>収入</v>
      </c>
      <c r="D106" s="15">
        <f>D99</f>
        <v>0</v>
      </c>
      <c r="E106" s="14" t="str">
        <f>E99</f>
        <v>(d)</v>
      </c>
    </row>
    <row r="107" spans="1:7" ht="14.25" thickTop="1" x14ac:dyDescent="0.15">
      <c r="C107" s="13" t="str">
        <f>A1</f>
        <v>雑費</v>
      </c>
      <c r="D107" s="17">
        <f>D56</f>
        <v>0</v>
      </c>
      <c r="E107" t="str">
        <f>E56</f>
        <v>(a)</v>
      </c>
      <c r="G107" s="1"/>
    </row>
    <row r="108" spans="1:7" x14ac:dyDescent="0.15">
      <c r="C108" s="5" t="str">
        <f>A65</f>
        <v>固定費</v>
      </c>
      <c r="D108" s="17">
        <f>D74</f>
        <v>0</v>
      </c>
      <c r="E108" t="str">
        <f>E74</f>
        <v>(b)</v>
      </c>
      <c r="G108" s="1"/>
    </row>
    <row r="109" spans="1:7" ht="14.25" thickBot="1" x14ac:dyDescent="0.2">
      <c r="C109" s="14" t="str">
        <f>A79</f>
        <v>特別経費</v>
      </c>
      <c r="D109" s="18">
        <f>D86</f>
        <v>0</v>
      </c>
      <c r="E109" s="14" t="str">
        <f>E86</f>
        <v>(c)</v>
      </c>
    </row>
    <row r="110" spans="1:7" ht="14.25" thickTop="1" x14ac:dyDescent="0.15">
      <c r="C110" t="s">
        <v>33</v>
      </c>
      <c r="D110" s="19">
        <f>SUM(D107:D109)</f>
        <v>0</v>
      </c>
      <c r="E110" t="s">
        <v>34</v>
      </c>
      <c r="F110" s="7"/>
      <c r="G110" s="1"/>
    </row>
    <row r="111" spans="1:7" x14ac:dyDescent="0.15">
      <c r="G111" s="7"/>
    </row>
    <row r="112" spans="1:7" x14ac:dyDescent="0.15">
      <c r="C112" t="s">
        <v>32</v>
      </c>
      <c r="D112" s="20">
        <f>D106+D110</f>
        <v>0</v>
      </c>
      <c r="E112" t="s">
        <v>35</v>
      </c>
      <c r="F112" s="20"/>
      <c r="G112" s="7"/>
    </row>
    <row r="114" spans="1:7" x14ac:dyDescent="0.15">
      <c r="D114" s="7">
        <f>D112-D113</f>
        <v>0</v>
      </c>
    </row>
    <row r="115" spans="1:7" x14ac:dyDescent="0.15">
      <c r="F115" s="7"/>
      <c r="G115" s="1"/>
    </row>
    <row r="117" spans="1:7" ht="17.25" x14ac:dyDescent="0.15">
      <c r="A117" s="12" t="s">
        <v>49</v>
      </c>
      <c r="C117" s="4"/>
      <c r="D117" s="6"/>
    </row>
    <row r="118" spans="1:7" ht="17.25" x14ac:dyDescent="0.15">
      <c r="A118" s="12"/>
      <c r="C118" s="4" t="s">
        <v>49</v>
      </c>
      <c r="D118" s="6"/>
      <c r="E118" s="3"/>
    </row>
    <row r="119" spans="1:7" x14ac:dyDescent="0.15">
      <c r="C119" s="4" t="s">
        <v>52</v>
      </c>
      <c r="D119" s="6"/>
      <c r="E119" s="3"/>
    </row>
    <row r="120" spans="1:7" x14ac:dyDescent="0.15">
      <c r="C120" s="4"/>
      <c r="D120" s="6"/>
    </row>
  </sheetData>
  <sortState ref="A5:J35">
    <sortCondition ref="B5:B35"/>
  </sortState>
  <phoneticPr fontId="3"/>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132"/>
  <sheetViews>
    <sheetView workbookViewId="0">
      <selection activeCell="F16" sqref="F1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D9" s="6"/>
      <c r="E9" s="1"/>
    </row>
    <row r="10" spans="1:8" x14ac:dyDescent="0.15">
      <c r="D10" s="6"/>
      <c r="E10" s="1"/>
    </row>
    <row r="11" spans="1:8" x14ac:dyDescent="0.15">
      <c r="D11" s="6"/>
      <c r="E11" s="1"/>
    </row>
    <row r="12" spans="1:8" x14ac:dyDescent="0.15">
      <c r="D12" s="6"/>
      <c r="E12" s="1"/>
    </row>
    <row r="13" spans="1:8" x14ac:dyDescent="0.15">
      <c r="D13" s="6"/>
      <c r="E13" s="1"/>
    </row>
    <row r="14" spans="1:8" x14ac:dyDescent="0.15">
      <c r="D14" s="6"/>
      <c r="E14" s="1"/>
    </row>
    <row r="15" spans="1:8" x14ac:dyDescent="0.15">
      <c r="D15" s="6"/>
      <c r="E15" s="1"/>
    </row>
    <row r="16" spans="1:8" x14ac:dyDescent="0.15">
      <c r="D16" s="6"/>
      <c r="E16" s="1"/>
    </row>
    <row r="17" spans="1:8" x14ac:dyDescent="0.15">
      <c r="D17" s="6"/>
      <c r="E17" s="1"/>
    </row>
    <row r="18" spans="1:8" x14ac:dyDescent="0.15">
      <c r="D18" s="6"/>
      <c r="E18" s="1"/>
    </row>
    <row r="19" spans="1:8" x14ac:dyDescent="0.15">
      <c r="D19" s="6"/>
      <c r="E19" s="1"/>
    </row>
    <row r="20" spans="1:8" x14ac:dyDescent="0.15">
      <c r="D20" s="6"/>
      <c r="E20" s="1"/>
    </row>
    <row r="21" spans="1:8" x14ac:dyDescent="0.15">
      <c r="D21" s="6"/>
      <c r="E21" s="1"/>
    </row>
    <row r="22" spans="1:8" x14ac:dyDescent="0.15">
      <c r="D22" s="6"/>
      <c r="E22" s="1"/>
    </row>
    <row r="23" spans="1:8" x14ac:dyDescent="0.15">
      <c r="D23" s="6"/>
      <c r="E23" s="1"/>
    </row>
    <row r="24" spans="1:8" x14ac:dyDescent="0.15">
      <c r="D24" s="6"/>
      <c r="E24" s="1"/>
    </row>
    <row r="25" spans="1:8" x14ac:dyDescent="0.15">
      <c r="D25" s="23"/>
      <c r="H25" s="22"/>
    </row>
    <row r="26" spans="1:8" x14ac:dyDescent="0.15">
      <c r="A26" s="22"/>
      <c r="C26" s="6"/>
      <c r="D26" s="6"/>
      <c r="E26" s="1"/>
      <c r="H26" s="22"/>
    </row>
    <row r="27" spans="1:8" x14ac:dyDescent="0.15">
      <c r="D27" s="6"/>
    </row>
    <row r="28" spans="1:8" x14ac:dyDescent="0.15">
      <c r="A28" s="22"/>
      <c r="B28" s="22"/>
      <c r="C28" s="23"/>
      <c r="D28" s="23"/>
      <c r="E28" s="53"/>
      <c r="F28" s="22"/>
      <c r="G28" s="22"/>
      <c r="H28" s="22"/>
    </row>
    <row r="29" spans="1:8" x14ac:dyDescent="0.15">
      <c r="D29" s="23"/>
    </row>
    <row r="30" spans="1:8" x14ac:dyDescent="0.15">
      <c r="D30" s="23"/>
    </row>
    <row r="31" spans="1:8" x14ac:dyDescent="0.15">
      <c r="D31" s="6"/>
    </row>
    <row r="32" spans="1:8" x14ac:dyDescent="0.15">
      <c r="D32" s="23"/>
    </row>
    <row r="33" spans="4:8" x14ac:dyDescent="0.15">
      <c r="D33" s="23"/>
      <c r="H33" s="22"/>
    </row>
    <row r="34" spans="4:8" x14ac:dyDescent="0.15">
      <c r="D34" s="6"/>
      <c r="E34" s="6"/>
      <c r="H34" s="22"/>
    </row>
    <row r="35" spans="4:8" x14ac:dyDescent="0.15">
      <c r="D35" s="6"/>
    </row>
    <row r="36" spans="4:8" x14ac:dyDescent="0.15">
      <c r="D36" s="6"/>
    </row>
    <row r="37" spans="4:8" x14ac:dyDescent="0.15">
      <c r="D37" s="6"/>
      <c r="H37" s="22"/>
    </row>
    <row r="38" spans="4:8" x14ac:dyDescent="0.15">
      <c r="D38" s="6"/>
      <c r="H38" s="22"/>
    </row>
    <row r="39" spans="4:8" x14ac:dyDescent="0.15">
      <c r="D39" s="23"/>
      <c r="H39" s="22"/>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c r="E44" s="6"/>
    </row>
    <row r="45" spans="4:8" x14ac:dyDescent="0.15">
      <c r="D45" s="6"/>
      <c r="H45" s="22"/>
    </row>
    <row r="46" spans="4:8" x14ac:dyDescent="0.15">
      <c r="D46" s="6"/>
      <c r="H46" s="22"/>
    </row>
    <row r="47" spans="4:8" x14ac:dyDescent="0.15">
      <c r="D47" s="6"/>
      <c r="H47" s="22"/>
    </row>
    <row r="48" spans="4:8" x14ac:dyDescent="0.15">
      <c r="D48" s="6"/>
      <c r="H48" s="22"/>
    </row>
    <row r="49" spans="3:8" x14ac:dyDescent="0.15">
      <c r="D49" s="6"/>
    </row>
    <row r="50" spans="3:8" x14ac:dyDescent="0.15">
      <c r="D50" s="6"/>
    </row>
    <row r="51" spans="3:8" x14ac:dyDescent="0.15">
      <c r="D51" s="6"/>
      <c r="H51" s="22"/>
    </row>
    <row r="52" spans="3:8" x14ac:dyDescent="0.15">
      <c r="D52" s="6"/>
      <c r="H52" s="22"/>
    </row>
    <row r="53" spans="3:8" x14ac:dyDescent="0.15">
      <c r="D53" s="6"/>
      <c r="H53" s="22"/>
    </row>
    <row r="54" spans="3:8" x14ac:dyDescent="0.15">
      <c r="D54" s="6"/>
      <c r="E54" s="1"/>
    </row>
    <row r="55" spans="3:8" x14ac:dyDescent="0.15">
      <c r="D55" s="6"/>
      <c r="E55" s="1"/>
    </row>
    <row r="56" spans="3:8" x14ac:dyDescent="0.15">
      <c r="D56" s="6"/>
      <c r="E56" s="1"/>
    </row>
    <row r="57" spans="3:8" x14ac:dyDescent="0.15">
      <c r="D57" s="6"/>
      <c r="E57" s="1"/>
    </row>
    <row r="58" spans="3:8" x14ac:dyDescent="0.15">
      <c r="D58" s="6"/>
      <c r="E58" s="1"/>
    </row>
    <row r="59" spans="3:8" ht="14.25" thickBot="1" x14ac:dyDescent="0.2"/>
    <row r="60" spans="3:8" ht="14.25" thickBot="1" x14ac:dyDescent="0.2">
      <c r="C60" s="4"/>
      <c r="D60" s="9">
        <f>SUM(D4:D58)</f>
        <v>0</v>
      </c>
      <c r="E60" t="s">
        <v>28</v>
      </c>
    </row>
    <row r="61" spans="3:8" x14ac:dyDescent="0.15">
      <c r="C61" s="4"/>
    </row>
    <row r="62" spans="3:8" x14ac:dyDescent="0.15">
      <c r="C62" s="4"/>
    </row>
    <row r="63" spans="3:8" x14ac:dyDescent="0.15">
      <c r="C63" s="4"/>
    </row>
    <row r="64" spans="3:8" x14ac:dyDescent="0.15">
      <c r="C64" s="4"/>
    </row>
    <row r="65" spans="1:8" x14ac:dyDescent="0.15">
      <c r="C65" s="4"/>
    </row>
    <row r="66" spans="1:8" x14ac:dyDescent="0.15">
      <c r="C66" s="4"/>
    </row>
    <row r="68" spans="1:8" x14ac:dyDescent="0.15">
      <c r="C68" s="4"/>
    </row>
    <row r="69" spans="1:8" ht="17.25" x14ac:dyDescent="0.15">
      <c r="A69" s="12" t="s">
        <v>25</v>
      </c>
      <c r="C69" s="4"/>
      <c r="D69" s="6"/>
    </row>
    <row r="70" spans="1:8" ht="13.5" customHeight="1" x14ac:dyDescent="0.15">
      <c r="A70" s="12"/>
      <c r="B70" t="s">
        <v>6</v>
      </c>
      <c r="C70" s="4" t="s">
        <v>5</v>
      </c>
      <c r="D70" s="6" t="s">
        <v>4</v>
      </c>
      <c r="E70" t="s">
        <v>3</v>
      </c>
      <c r="F70" t="s">
        <v>9</v>
      </c>
      <c r="G70" t="s">
        <v>10</v>
      </c>
      <c r="H70" t="s">
        <v>11</v>
      </c>
    </row>
    <row r="71" spans="1:8" x14ac:dyDescent="0.15">
      <c r="C71" s="8"/>
      <c r="D71" s="23"/>
    </row>
    <row r="72" spans="1:8" x14ac:dyDescent="0.15">
      <c r="D72" s="6"/>
      <c r="E72" s="1"/>
    </row>
    <row r="73" spans="1:8" x14ac:dyDescent="0.15">
      <c r="D73" s="6"/>
      <c r="E73" s="1"/>
    </row>
    <row r="74" spans="1:8" x14ac:dyDescent="0.15">
      <c r="B74" s="22"/>
      <c r="C74" s="22"/>
      <c r="D74" s="23"/>
      <c r="E74" s="53"/>
      <c r="F74" s="22"/>
      <c r="G74" s="22"/>
    </row>
    <row r="75" spans="1:8" x14ac:dyDescent="0.15">
      <c r="B75" s="22"/>
      <c r="C75" s="22"/>
      <c r="D75" s="23"/>
      <c r="E75" s="22"/>
      <c r="F75" s="22"/>
      <c r="G75" s="22"/>
    </row>
    <row r="76" spans="1:8" x14ac:dyDescent="0.15">
      <c r="D76" s="6"/>
    </row>
    <row r="77" spans="1:8" x14ac:dyDescent="0.15">
      <c r="D77" s="6"/>
    </row>
    <row r="78" spans="1:8" x14ac:dyDescent="0.15">
      <c r="D78" s="6"/>
      <c r="E78" s="1"/>
    </row>
    <row r="79" spans="1:8" x14ac:dyDescent="0.15">
      <c r="D79" s="6"/>
    </row>
    <row r="80" spans="1:8" x14ac:dyDescent="0.15">
      <c r="C80" s="4"/>
      <c r="D80" s="23"/>
    </row>
    <row r="81" spans="1:8" ht="14.25" thickBot="1" x14ac:dyDescent="0.2">
      <c r="D81" s="6"/>
      <c r="E81" s="6"/>
    </row>
    <row r="82" spans="1:8" ht="14.25" thickBot="1" x14ac:dyDescent="0.2">
      <c r="C82" s="4"/>
      <c r="D82" s="9">
        <f>SUM(D71:D80)</f>
        <v>0</v>
      </c>
      <c r="E82" t="s">
        <v>29</v>
      </c>
    </row>
    <row r="83" spans="1:8" x14ac:dyDescent="0.15">
      <c r="C83" s="4"/>
      <c r="D83" s="7"/>
    </row>
    <row r="84" spans="1:8" x14ac:dyDescent="0.15">
      <c r="C84" s="4"/>
      <c r="D84" s="7"/>
    </row>
    <row r="86" spans="1:8" x14ac:dyDescent="0.15">
      <c r="C86" s="4"/>
    </row>
    <row r="87" spans="1:8" ht="17.25" x14ac:dyDescent="0.15">
      <c r="A87" s="12" t="s">
        <v>27</v>
      </c>
      <c r="C87" s="4"/>
      <c r="D87" s="6"/>
    </row>
    <row r="88" spans="1:8" ht="13.5" customHeight="1" x14ac:dyDescent="0.15">
      <c r="A88" s="12"/>
      <c r="B88" t="s">
        <v>6</v>
      </c>
      <c r="C88" s="4" t="s">
        <v>5</v>
      </c>
      <c r="D88" s="6" t="s">
        <v>4</v>
      </c>
      <c r="E88" t="s">
        <v>3</v>
      </c>
      <c r="F88" t="s">
        <v>9</v>
      </c>
      <c r="G88" t="s">
        <v>10</v>
      </c>
      <c r="H88" t="s">
        <v>11</v>
      </c>
    </row>
    <row r="89" spans="1:8" ht="13.5" customHeight="1" x14ac:dyDescent="0.15">
      <c r="A89" s="12"/>
      <c r="D89" s="6"/>
      <c r="E89" s="1"/>
      <c r="H89" s="22"/>
    </row>
    <row r="90" spans="1:8" x14ac:dyDescent="0.15">
      <c r="D90" s="6"/>
      <c r="E90" s="1"/>
    </row>
    <row r="91" spans="1:8" x14ac:dyDescent="0.15">
      <c r="D91" s="6"/>
      <c r="H91" s="22"/>
    </row>
    <row r="92" spans="1:8" x14ac:dyDescent="0.15">
      <c r="D92" s="6"/>
      <c r="E92" s="1"/>
    </row>
    <row r="93" spans="1:8" x14ac:dyDescent="0.15">
      <c r="C93" s="4"/>
      <c r="D93" s="6"/>
    </row>
    <row r="94" spans="1:8" x14ac:dyDescent="0.15">
      <c r="D94" s="6"/>
    </row>
    <row r="95" spans="1:8" x14ac:dyDescent="0.15">
      <c r="D95" s="6"/>
      <c r="E95" s="1"/>
    </row>
    <row r="96" spans="1:8" ht="14.25" thickBot="1" x14ac:dyDescent="0.2">
      <c r="D96" s="6"/>
    </row>
    <row r="97" spans="1:8" ht="14.25" thickBot="1" x14ac:dyDescent="0.2">
      <c r="C97" s="4"/>
      <c r="D97" s="9">
        <f>SUM(D89:D95)</f>
        <v>0</v>
      </c>
      <c r="E97" t="s">
        <v>30</v>
      </c>
    </row>
    <row r="98" spans="1:8" x14ac:dyDescent="0.15">
      <c r="C98" s="4"/>
      <c r="D98" s="6"/>
    </row>
    <row r="100" spans="1:8" x14ac:dyDescent="0.15">
      <c r="C100" s="4"/>
    </row>
    <row r="101" spans="1:8" ht="17.25" x14ac:dyDescent="0.15">
      <c r="A101" s="12" t="s">
        <v>26</v>
      </c>
      <c r="C101" s="4"/>
      <c r="D101" s="6"/>
    </row>
    <row r="102" spans="1:8" ht="13.5" customHeight="1" x14ac:dyDescent="0.15">
      <c r="A102" s="12"/>
      <c r="B102" t="s">
        <v>6</v>
      </c>
      <c r="C102" s="4" t="s">
        <v>5</v>
      </c>
      <c r="D102" s="6" t="s">
        <v>4</v>
      </c>
      <c r="E102" t="s">
        <v>3</v>
      </c>
      <c r="F102" t="s">
        <v>9</v>
      </c>
      <c r="G102" t="s">
        <v>10</v>
      </c>
      <c r="H102" t="s">
        <v>11</v>
      </c>
    </row>
    <row r="103" spans="1:8" ht="17.25" x14ac:dyDescent="0.15">
      <c r="A103" s="12"/>
      <c r="D103" s="6"/>
      <c r="E103" s="1"/>
    </row>
    <row r="104" spans="1:8" ht="13.5" customHeight="1" x14ac:dyDescent="0.15">
      <c r="D104" s="6"/>
      <c r="E104" s="1"/>
    </row>
    <row r="105" spans="1:8" x14ac:dyDescent="0.15">
      <c r="D105" s="6"/>
      <c r="E105" s="1"/>
    </row>
    <row r="106" spans="1:8" x14ac:dyDescent="0.15">
      <c r="D106" s="23"/>
    </row>
    <row r="107" spans="1:8" x14ac:dyDescent="0.15">
      <c r="D107" s="58"/>
    </row>
    <row r="108" spans="1:8" x14ac:dyDescent="0.15">
      <c r="D108" s="21"/>
    </row>
    <row r="109" spans="1:8" x14ac:dyDescent="0.15">
      <c r="D109" s="6"/>
      <c r="E109" s="1"/>
    </row>
    <row r="110" spans="1:8" ht="14.25" thickBot="1" x14ac:dyDescent="0.2">
      <c r="D110" s="21"/>
    </row>
    <row r="111" spans="1:8" ht="14.25" thickBot="1" x14ac:dyDescent="0.2">
      <c r="D111" s="10">
        <f>SUM(D103:D110)</f>
        <v>0</v>
      </c>
      <c r="E111" t="s">
        <v>31</v>
      </c>
    </row>
    <row r="112" spans="1:8" x14ac:dyDescent="0.15">
      <c r="D112" s="11"/>
    </row>
    <row r="113" spans="1:7" x14ac:dyDescent="0.15">
      <c r="C113" s="1"/>
    </row>
    <row r="116" spans="1:7" ht="33" customHeight="1" x14ac:dyDescent="0.15">
      <c r="A116" s="12" t="s">
        <v>32</v>
      </c>
      <c r="C116" s="5"/>
      <c r="D116" s="16"/>
    </row>
    <row r="117" spans="1:7" ht="13.5" customHeight="1" x14ac:dyDescent="0.15"/>
    <row r="118" spans="1:7" ht="14.25" thickBot="1" x14ac:dyDescent="0.2">
      <c r="C118" s="14" t="str">
        <f>A101</f>
        <v>収入</v>
      </c>
      <c r="D118" s="15">
        <f>D111</f>
        <v>0</v>
      </c>
      <c r="E118" s="14" t="str">
        <f>E111</f>
        <v>(d)</v>
      </c>
    </row>
    <row r="119" spans="1:7" ht="14.25" thickTop="1" x14ac:dyDescent="0.15">
      <c r="C119" s="13" t="str">
        <f>A1</f>
        <v>雑費</v>
      </c>
      <c r="D119" s="17">
        <f>D60</f>
        <v>0</v>
      </c>
      <c r="E119" t="str">
        <f>E60</f>
        <v>(a)</v>
      </c>
      <c r="G119" s="1"/>
    </row>
    <row r="120" spans="1:7" x14ac:dyDescent="0.15">
      <c r="C120" s="5" t="str">
        <f>A69</f>
        <v>固定費</v>
      </c>
      <c r="D120" s="17">
        <f>D82</f>
        <v>0</v>
      </c>
      <c r="E120" t="str">
        <f>E82</f>
        <v>(b)</v>
      </c>
      <c r="G120" s="1"/>
    </row>
    <row r="121" spans="1:7" ht="14.25" thickBot="1" x14ac:dyDescent="0.2">
      <c r="C121" s="14" t="str">
        <f>A87</f>
        <v>特別経費</v>
      </c>
      <c r="D121" s="18">
        <f>D97</f>
        <v>0</v>
      </c>
      <c r="E121" s="14" t="str">
        <f>E97</f>
        <v>(c)</v>
      </c>
    </row>
    <row r="122" spans="1:7" ht="14.25" thickTop="1" x14ac:dyDescent="0.15">
      <c r="C122" t="s">
        <v>33</v>
      </c>
      <c r="D122" s="19">
        <f>SUM(D119:D121)</f>
        <v>0</v>
      </c>
      <c r="E122" t="s">
        <v>34</v>
      </c>
      <c r="F122" s="7"/>
      <c r="G122" s="1"/>
    </row>
    <row r="123" spans="1:7" x14ac:dyDescent="0.15">
      <c r="G123" s="7"/>
    </row>
    <row r="124" spans="1:7" x14ac:dyDescent="0.15">
      <c r="C124" t="s">
        <v>32</v>
      </c>
      <c r="D124" s="20">
        <f>D118+D122</f>
        <v>0</v>
      </c>
      <c r="E124" t="s">
        <v>35</v>
      </c>
      <c r="F124" s="20"/>
      <c r="G124" s="7"/>
    </row>
    <row r="126" spans="1:7" x14ac:dyDescent="0.15">
      <c r="D126" s="7">
        <f>D124-D125</f>
        <v>0</v>
      </c>
    </row>
    <row r="127" spans="1:7" x14ac:dyDescent="0.15">
      <c r="F127" s="7"/>
      <c r="G127" s="1"/>
    </row>
    <row r="129" spans="1:5" ht="17.25" x14ac:dyDescent="0.15">
      <c r="A129" s="12" t="s">
        <v>49</v>
      </c>
      <c r="C129" s="4"/>
      <c r="D129" s="6"/>
    </row>
    <row r="130" spans="1:5" ht="17.25" x14ac:dyDescent="0.15">
      <c r="A130" s="12"/>
      <c r="C130" s="4" t="s">
        <v>49</v>
      </c>
      <c r="D130" s="6"/>
      <c r="E130" s="3"/>
    </row>
    <row r="131" spans="1:5" x14ac:dyDescent="0.15">
      <c r="C131" s="4" t="s">
        <v>52</v>
      </c>
      <c r="D131" s="6"/>
      <c r="E131" s="3"/>
    </row>
    <row r="132" spans="1:5" x14ac:dyDescent="0.15">
      <c r="C132" s="4"/>
      <c r="D132" s="6"/>
    </row>
  </sheetData>
  <sortState ref="A4:I36">
    <sortCondition ref="B4:B36"/>
  </sortState>
  <phoneticPr fontId="3"/>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30"/>
  <sheetViews>
    <sheetView workbookViewId="0">
      <selection activeCell="B51" sqref="B51"/>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A9" s="22"/>
      <c r="B9" s="22"/>
      <c r="C9" s="22"/>
      <c r="D9" s="23"/>
      <c r="E9" s="53"/>
      <c r="F9" s="22"/>
      <c r="G9" s="22"/>
      <c r="H9" s="22"/>
    </row>
    <row r="10" spans="1:8" x14ac:dyDescent="0.15">
      <c r="A10" s="22"/>
      <c r="B10" s="22"/>
      <c r="C10" s="22"/>
      <c r="D10" s="23"/>
      <c r="E10" s="53"/>
      <c r="F10" s="22"/>
      <c r="G10" s="22"/>
      <c r="H10" s="22"/>
    </row>
    <row r="11" spans="1:8" x14ac:dyDescent="0.15">
      <c r="A11" s="22"/>
      <c r="B11" s="22"/>
      <c r="C11" s="22"/>
      <c r="D11" s="23"/>
      <c r="E11" s="53"/>
      <c r="F11" s="22"/>
      <c r="G11" s="22"/>
      <c r="H11" s="22"/>
    </row>
    <row r="12" spans="1:8" x14ac:dyDescent="0.15">
      <c r="A12" s="22"/>
      <c r="B12" s="22"/>
      <c r="C12" s="22"/>
      <c r="D12" s="23"/>
      <c r="E12" s="53"/>
      <c r="F12" s="22"/>
      <c r="G12" s="22"/>
      <c r="H12" s="22"/>
    </row>
    <row r="13" spans="1:8" x14ac:dyDescent="0.15">
      <c r="A13" s="22"/>
      <c r="B13" s="22"/>
      <c r="C13" s="22"/>
      <c r="D13" s="23"/>
      <c r="E13" s="53"/>
      <c r="F13" s="22"/>
      <c r="G13" s="22"/>
      <c r="H13" s="22"/>
    </row>
    <row r="14" spans="1:8" x14ac:dyDescent="0.15">
      <c r="A14" s="22"/>
      <c r="B14" s="22"/>
      <c r="C14" s="22"/>
      <c r="D14" s="23"/>
      <c r="E14" s="53"/>
      <c r="F14" s="22"/>
      <c r="G14" s="22"/>
      <c r="H14" s="22"/>
    </row>
    <row r="15" spans="1:8" x14ac:dyDescent="0.15">
      <c r="A15" s="22"/>
      <c r="B15" s="22"/>
      <c r="C15" s="22"/>
      <c r="D15" s="23"/>
      <c r="E15" s="53"/>
      <c r="F15" s="22"/>
      <c r="G15" s="22"/>
      <c r="H15" s="22"/>
    </row>
    <row r="16" spans="1:8" x14ac:dyDescent="0.15">
      <c r="A16" s="22"/>
      <c r="B16" s="22"/>
      <c r="C16" s="22"/>
      <c r="D16" s="23"/>
      <c r="E16" s="53"/>
      <c r="F16" s="22"/>
      <c r="G16" s="22"/>
      <c r="H16" s="22"/>
    </row>
    <row r="17" spans="1:8" x14ac:dyDescent="0.15">
      <c r="A17" s="22"/>
      <c r="B17" s="22"/>
      <c r="C17" s="22"/>
      <c r="D17" s="23"/>
      <c r="E17" s="53"/>
      <c r="F17" s="22"/>
      <c r="G17" s="22"/>
      <c r="H17" s="22"/>
    </row>
    <row r="18" spans="1:8" x14ac:dyDescent="0.15">
      <c r="A18" s="22"/>
      <c r="B18" s="22"/>
      <c r="C18" s="22"/>
      <c r="D18" s="23"/>
      <c r="E18" s="53"/>
      <c r="F18" s="22"/>
      <c r="G18" s="22"/>
      <c r="H18" s="22"/>
    </row>
    <row r="19" spans="1:8" x14ac:dyDescent="0.15">
      <c r="A19" s="22"/>
      <c r="B19" s="22"/>
      <c r="C19" s="22"/>
      <c r="D19" s="23"/>
      <c r="E19" s="53"/>
      <c r="F19" s="22"/>
      <c r="G19" s="22"/>
      <c r="H19" s="22"/>
    </row>
    <row r="20" spans="1:8" x14ac:dyDescent="0.15">
      <c r="A20" s="22"/>
      <c r="B20" s="22"/>
      <c r="C20" s="22"/>
      <c r="D20" s="23"/>
      <c r="E20" s="53"/>
      <c r="F20" s="22"/>
      <c r="G20" s="22"/>
      <c r="H20" s="22"/>
    </row>
    <row r="21" spans="1:8" x14ac:dyDescent="0.15">
      <c r="A21" s="22"/>
      <c r="B21" s="22"/>
      <c r="C21" s="22"/>
      <c r="D21" s="23"/>
      <c r="E21" s="53"/>
      <c r="F21" s="22"/>
      <c r="G21" s="22"/>
      <c r="H21" s="22"/>
    </row>
    <row r="22" spans="1:8" x14ac:dyDescent="0.15">
      <c r="A22" s="22"/>
      <c r="B22" s="22"/>
      <c r="C22" s="22"/>
      <c r="D22" s="23"/>
      <c r="E22" s="53"/>
      <c r="F22" s="22"/>
      <c r="G22" s="22"/>
      <c r="H22" s="22"/>
    </row>
    <row r="23" spans="1:8" x14ac:dyDescent="0.15">
      <c r="A23" s="22"/>
      <c r="B23" s="22"/>
      <c r="C23" s="22"/>
      <c r="D23" s="23"/>
      <c r="E23" s="53"/>
      <c r="F23" s="22"/>
      <c r="G23" s="22"/>
      <c r="H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c r="H27" s="22"/>
    </row>
    <row r="28" spans="1:8" x14ac:dyDescent="0.15">
      <c r="A28" s="22"/>
      <c r="B28" s="22"/>
      <c r="C28" s="23"/>
      <c r="D28" s="23"/>
      <c r="E28" s="53"/>
      <c r="F28" s="22"/>
      <c r="G28" s="22"/>
      <c r="H28" s="22"/>
    </row>
    <row r="29" spans="1:8" x14ac:dyDescent="0.15">
      <c r="A29" s="22"/>
      <c r="B29" s="22"/>
      <c r="C29" s="22"/>
      <c r="D29" s="23"/>
      <c r="E29" s="53"/>
      <c r="F29" s="22"/>
      <c r="G29" s="22"/>
      <c r="H29" s="22"/>
    </row>
    <row r="30" spans="1:8" x14ac:dyDescent="0.15">
      <c r="A30" s="22"/>
      <c r="B30" s="22"/>
      <c r="C30" s="22"/>
      <c r="D30" s="23"/>
      <c r="E30" s="22"/>
      <c r="F30" s="22"/>
      <c r="G30" s="22"/>
      <c r="H30" s="22"/>
    </row>
    <row r="31" spans="1:8" x14ac:dyDescent="0.15">
      <c r="A31" s="22"/>
      <c r="B31" s="22"/>
      <c r="C31" s="22"/>
      <c r="D31" s="23"/>
      <c r="E31" s="22"/>
      <c r="F31" s="22"/>
      <c r="G31" s="22"/>
      <c r="H31" s="22"/>
    </row>
    <row r="32" spans="1:8" x14ac:dyDescent="0.15">
      <c r="D32" s="23"/>
      <c r="H32" s="22"/>
    </row>
    <row r="33" spans="4:8" x14ac:dyDescent="0.15">
      <c r="D33" s="6"/>
      <c r="E33" s="6"/>
      <c r="H33" s="22"/>
    </row>
    <row r="34" spans="4:8" x14ac:dyDescent="0.15">
      <c r="D34" s="6"/>
    </row>
    <row r="35" spans="4:8" x14ac:dyDescent="0.15">
      <c r="D35" s="6"/>
    </row>
    <row r="36" spans="4:8" x14ac:dyDescent="0.15">
      <c r="D36" s="6"/>
      <c r="H36" s="22"/>
    </row>
    <row r="37" spans="4:8" x14ac:dyDescent="0.15">
      <c r="D37" s="6"/>
      <c r="H37" s="22"/>
    </row>
    <row r="38" spans="4:8" x14ac:dyDescent="0.15">
      <c r="D38" s="23"/>
      <c r="H38" s="22"/>
    </row>
    <row r="39" spans="4:8" x14ac:dyDescent="0.15">
      <c r="D39" s="6"/>
      <c r="H39" s="22"/>
    </row>
    <row r="40" spans="4:8" x14ac:dyDescent="0.15">
      <c r="D40" s="6"/>
      <c r="H40" s="22"/>
    </row>
    <row r="41" spans="4:8" x14ac:dyDescent="0.15">
      <c r="D41" s="6"/>
      <c r="H41" s="22"/>
    </row>
    <row r="42" spans="4:8" x14ac:dyDescent="0.15">
      <c r="D42" s="6"/>
      <c r="H42" s="22"/>
    </row>
    <row r="43" spans="4:8" x14ac:dyDescent="0.15">
      <c r="D43" s="6"/>
      <c r="E43" s="6"/>
    </row>
    <row r="44" spans="4:8" x14ac:dyDescent="0.15">
      <c r="D44" s="6"/>
      <c r="H44" s="22"/>
    </row>
    <row r="45" spans="4:8" x14ac:dyDescent="0.15">
      <c r="D45" s="6"/>
      <c r="H45" s="22"/>
    </row>
    <row r="46" spans="4:8" x14ac:dyDescent="0.15">
      <c r="D46" s="6"/>
      <c r="H46" s="22"/>
    </row>
    <row r="47" spans="4:8" x14ac:dyDescent="0.15">
      <c r="D47" s="6"/>
    </row>
    <row r="48" spans="4:8" x14ac:dyDescent="0.15">
      <c r="D48" s="6"/>
    </row>
    <row r="49" spans="3:8" x14ac:dyDescent="0.15">
      <c r="D49" s="6"/>
      <c r="H49" s="22"/>
    </row>
    <row r="50" spans="3:8" x14ac:dyDescent="0.15">
      <c r="D50" s="6"/>
      <c r="H50" s="22"/>
    </row>
    <row r="51" spans="3:8" x14ac:dyDescent="0.15">
      <c r="D51" s="6"/>
      <c r="H51" s="22"/>
    </row>
    <row r="52" spans="3:8" x14ac:dyDescent="0.15">
      <c r="D52" s="6"/>
      <c r="E52" s="1"/>
    </row>
    <row r="53" spans="3:8" x14ac:dyDescent="0.15">
      <c r="D53" s="6"/>
      <c r="E53" s="1"/>
    </row>
    <row r="54" spans="3:8" x14ac:dyDescent="0.15">
      <c r="D54" s="6"/>
      <c r="E54" s="1"/>
    </row>
    <row r="55" spans="3:8" x14ac:dyDescent="0.15">
      <c r="D55" s="6"/>
      <c r="E55" s="1"/>
    </row>
    <row r="56" spans="3:8" x14ac:dyDescent="0.15">
      <c r="D56" s="6"/>
      <c r="E56" s="1"/>
    </row>
    <row r="57" spans="3:8" ht="14.25" thickBot="1" x14ac:dyDescent="0.2"/>
    <row r="58" spans="3:8" ht="14.25" thickBot="1" x14ac:dyDescent="0.2">
      <c r="C58" s="4"/>
      <c r="D58" s="9">
        <f>SUM(D4:D56)</f>
        <v>0</v>
      </c>
      <c r="E58" t="s">
        <v>28</v>
      </c>
    </row>
    <row r="59" spans="3:8" x14ac:dyDescent="0.15">
      <c r="C59" s="4"/>
    </row>
    <row r="60" spans="3:8" x14ac:dyDescent="0.15">
      <c r="C60" s="4"/>
    </row>
    <row r="61" spans="3:8" x14ac:dyDescent="0.15">
      <c r="C61" s="4"/>
    </row>
    <row r="62" spans="3:8" x14ac:dyDescent="0.15">
      <c r="C62" s="4"/>
    </row>
    <row r="63" spans="3:8" x14ac:dyDescent="0.15">
      <c r="C63" s="4"/>
    </row>
    <row r="64" spans="3:8" x14ac:dyDescent="0.15">
      <c r="C64" s="4"/>
    </row>
    <row r="66" spans="1:8" x14ac:dyDescent="0.15">
      <c r="C66" s="4"/>
    </row>
    <row r="67" spans="1:8" ht="17.25" x14ac:dyDescent="0.15">
      <c r="A67" s="12" t="s">
        <v>25</v>
      </c>
      <c r="C67" s="4"/>
      <c r="D67" s="6"/>
    </row>
    <row r="68" spans="1:8" ht="13.5" customHeight="1" x14ac:dyDescent="0.15">
      <c r="A68" s="12"/>
      <c r="B68" t="s">
        <v>6</v>
      </c>
      <c r="C68" s="4" t="s">
        <v>5</v>
      </c>
      <c r="D68" s="6" t="s">
        <v>4</v>
      </c>
      <c r="E68" t="s">
        <v>3</v>
      </c>
      <c r="F68" t="s">
        <v>9</v>
      </c>
      <c r="G68" t="s">
        <v>10</v>
      </c>
      <c r="H68" t="s">
        <v>11</v>
      </c>
    </row>
    <row r="69" spans="1:8" x14ac:dyDescent="0.15">
      <c r="C69" s="8"/>
      <c r="D69" s="23"/>
    </row>
    <row r="70" spans="1:8" x14ac:dyDescent="0.15">
      <c r="B70" s="22"/>
      <c r="C70" s="22"/>
      <c r="D70" s="23"/>
      <c r="E70" s="53"/>
      <c r="F70" s="22"/>
      <c r="G70" s="22"/>
    </row>
    <row r="71" spans="1:8" x14ac:dyDescent="0.15">
      <c r="D71" s="6"/>
      <c r="E71" s="1"/>
    </row>
    <row r="72" spans="1:8" x14ac:dyDescent="0.15">
      <c r="D72" s="6"/>
      <c r="E72" s="1"/>
    </row>
    <row r="73" spans="1:8" x14ac:dyDescent="0.15">
      <c r="B73" s="22"/>
      <c r="C73" s="22"/>
      <c r="D73" s="23"/>
      <c r="E73" s="22"/>
      <c r="F73" s="22"/>
      <c r="G73" s="22"/>
    </row>
    <row r="74" spans="1:8" x14ac:dyDescent="0.15">
      <c r="D74" s="6"/>
    </row>
    <row r="75" spans="1:8" x14ac:dyDescent="0.15">
      <c r="D75" s="6"/>
    </row>
    <row r="76" spans="1:8" x14ac:dyDescent="0.15">
      <c r="D76" s="6"/>
      <c r="E76" s="1"/>
    </row>
    <row r="77" spans="1:8" x14ac:dyDescent="0.15">
      <c r="D77" s="6"/>
    </row>
    <row r="78" spans="1:8" x14ac:dyDescent="0.15">
      <c r="C78" s="4"/>
      <c r="D78" s="23"/>
    </row>
    <row r="79" spans="1:8" ht="14.25" thickBot="1" x14ac:dyDescent="0.2">
      <c r="D79" s="6"/>
      <c r="E79" s="6"/>
    </row>
    <row r="80" spans="1:8" ht="14.25" thickBot="1" x14ac:dyDescent="0.2">
      <c r="C80" s="4"/>
      <c r="D80" s="9">
        <f>SUM(D69:D78)</f>
        <v>0</v>
      </c>
      <c r="E80" t="s">
        <v>29</v>
      </c>
    </row>
    <row r="81" spans="1:8" x14ac:dyDescent="0.15">
      <c r="C81" s="4"/>
      <c r="D81" s="7"/>
    </row>
    <row r="82" spans="1:8" x14ac:dyDescent="0.15">
      <c r="C82" s="4"/>
      <c r="D82" s="7"/>
    </row>
    <row r="84" spans="1:8" x14ac:dyDescent="0.15">
      <c r="C84" s="4"/>
    </row>
    <row r="85" spans="1:8" ht="17.25" x14ac:dyDescent="0.15">
      <c r="A85" s="12" t="s">
        <v>27</v>
      </c>
      <c r="C85" s="4"/>
      <c r="D85" s="6"/>
    </row>
    <row r="86" spans="1:8" ht="13.5" customHeight="1" x14ac:dyDescent="0.15">
      <c r="A86" s="12"/>
      <c r="B86" t="s">
        <v>6</v>
      </c>
      <c r="C86" s="4" t="s">
        <v>5</v>
      </c>
      <c r="D86" s="6" t="s">
        <v>4</v>
      </c>
      <c r="E86" t="s">
        <v>3</v>
      </c>
      <c r="F86" t="s">
        <v>9</v>
      </c>
      <c r="G86" t="s">
        <v>10</v>
      </c>
      <c r="H86" t="s">
        <v>11</v>
      </c>
    </row>
    <row r="87" spans="1:8" ht="13.5" customHeight="1" x14ac:dyDescent="0.15">
      <c r="A87" s="12"/>
      <c r="D87" s="6"/>
      <c r="E87" s="1"/>
      <c r="H87" s="22"/>
    </row>
    <row r="88" spans="1:8" x14ac:dyDescent="0.15">
      <c r="D88" s="6"/>
      <c r="E88" s="1"/>
    </row>
    <row r="89" spans="1:8" x14ac:dyDescent="0.15">
      <c r="D89" s="6"/>
      <c r="H89" s="22"/>
    </row>
    <row r="90" spans="1:8" x14ac:dyDescent="0.15">
      <c r="D90" s="6"/>
      <c r="E90" s="1"/>
    </row>
    <row r="91" spans="1:8" x14ac:dyDescent="0.15">
      <c r="C91" s="4"/>
      <c r="D91" s="6"/>
    </row>
    <row r="92" spans="1:8" x14ac:dyDescent="0.15">
      <c r="D92" s="6"/>
    </row>
    <row r="93" spans="1:8" x14ac:dyDescent="0.15">
      <c r="D93" s="6"/>
      <c r="E93" s="1"/>
    </row>
    <row r="94" spans="1:8" ht="14.25" thickBot="1" x14ac:dyDescent="0.2">
      <c r="D94" s="6"/>
    </row>
    <row r="95" spans="1:8" ht="14.25" thickBot="1" x14ac:dyDescent="0.2">
      <c r="C95" s="4"/>
      <c r="D95" s="9">
        <f>SUM(D87:D93)</f>
        <v>0</v>
      </c>
      <c r="E95" t="s">
        <v>30</v>
      </c>
    </row>
    <row r="96" spans="1:8" x14ac:dyDescent="0.15">
      <c r="C96" s="4"/>
      <c r="D96" s="6"/>
    </row>
    <row r="98" spans="1:8" x14ac:dyDescent="0.15">
      <c r="C98" s="4"/>
    </row>
    <row r="99" spans="1:8" ht="17.25" x14ac:dyDescent="0.15">
      <c r="A99" s="12" t="s">
        <v>26</v>
      </c>
      <c r="C99" s="4"/>
      <c r="D99" s="6"/>
    </row>
    <row r="100" spans="1:8" ht="13.5" customHeight="1" x14ac:dyDescent="0.15">
      <c r="A100" s="12"/>
      <c r="B100" t="s">
        <v>6</v>
      </c>
      <c r="C100" s="4" t="s">
        <v>5</v>
      </c>
      <c r="D100" s="6" t="s">
        <v>4</v>
      </c>
      <c r="E100" t="s">
        <v>3</v>
      </c>
      <c r="F100" t="s">
        <v>9</v>
      </c>
      <c r="G100" t="s">
        <v>10</v>
      </c>
      <c r="H100" t="s">
        <v>11</v>
      </c>
    </row>
    <row r="101" spans="1:8" ht="17.25" x14ac:dyDescent="0.15">
      <c r="A101" s="12"/>
      <c r="D101" s="6"/>
      <c r="E101" s="1"/>
    </row>
    <row r="102" spans="1:8" ht="13.5" customHeight="1" x14ac:dyDescent="0.15">
      <c r="D102" s="6"/>
      <c r="E102" s="1"/>
    </row>
    <row r="103" spans="1:8" x14ac:dyDescent="0.15">
      <c r="D103" s="6"/>
      <c r="E103" s="1"/>
    </row>
    <row r="104" spans="1:8" x14ac:dyDescent="0.15">
      <c r="D104" s="23"/>
    </row>
    <row r="105" spans="1:8" x14ac:dyDescent="0.15">
      <c r="D105" s="58"/>
    </row>
    <row r="106" spans="1:8" x14ac:dyDescent="0.15">
      <c r="D106" s="21"/>
    </row>
    <row r="107" spans="1:8" x14ac:dyDescent="0.15">
      <c r="D107" s="6"/>
      <c r="E107" s="1"/>
    </row>
    <row r="108" spans="1:8" ht="14.25" thickBot="1" x14ac:dyDescent="0.2">
      <c r="D108" s="21"/>
    </row>
    <row r="109" spans="1:8" ht="14.25" thickBot="1" x14ac:dyDescent="0.2">
      <c r="D109" s="10">
        <f>SUM(D101:D108)</f>
        <v>0</v>
      </c>
      <c r="E109" t="s">
        <v>31</v>
      </c>
    </row>
    <row r="110" spans="1:8" x14ac:dyDescent="0.15">
      <c r="D110" s="11"/>
    </row>
    <row r="111" spans="1:8" x14ac:dyDescent="0.15">
      <c r="C111" s="1"/>
    </row>
    <row r="114" spans="1:7" ht="33" customHeight="1" x14ac:dyDescent="0.15">
      <c r="A114" s="12" t="s">
        <v>32</v>
      </c>
      <c r="C114" s="5"/>
      <c r="D114" s="16"/>
    </row>
    <row r="115" spans="1:7" ht="13.5" customHeight="1" x14ac:dyDescent="0.15"/>
    <row r="116" spans="1:7" ht="14.25" thickBot="1" x14ac:dyDescent="0.2">
      <c r="C116" s="14" t="str">
        <f>A99</f>
        <v>収入</v>
      </c>
      <c r="D116" s="15">
        <f>D109</f>
        <v>0</v>
      </c>
      <c r="E116" s="14" t="str">
        <f>E109</f>
        <v>(d)</v>
      </c>
    </row>
    <row r="117" spans="1:7" ht="14.25" thickTop="1" x14ac:dyDescent="0.15">
      <c r="C117" s="13" t="str">
        <f>A1</f>
        <v>雑費</v>
      </c>
      <c r="D117" s="17">
        <f>D58</f>
        <v>0</v>
      </c>
      <c r="E117" t="str">
        <f>E58</f>
        <v>(a)</v>
      </c>
      <c r="G117" s="1"/>
    </row>
    <row r="118" spans="1:7" x14ac:dyDescent="0.15">
      <c r="C118" s="5" t="str">
        <f>A67</f>
        <v>固定費</v>
      </c>
      <c r="D118" s="17">
        <f>D80</f>
        <v>0</v>
      </c>
      <c r="E118" t="str">
        <f>E80</f>
        <v>(b)</v>
      </c>
      <c r="G118" s="1"/>
    </row>
    <row r="119" spans="1:7" ht="14.25" thickBot="1" x14ac:dyDescent="0.2">
      <c r="C119" s="14" t="str">
        <f>A85</f>
        <v>特別経費</v>
      </c>
      <c r="D119" s="18">
        <f>D95</f>
        <v>0</v>
      </c>
      <c r="E119" s="14" t="str">
        <f>E95</f>
        <v>(c)</v>
      </c>
    </row>
    <row r="120" spans="1:7" ht="14.25" thickTop="1" x14ac:dyDescent="0.15">
      <c r="C120" t="s">
        <v>33</v>
      </c>
      <c r="D120" s="19">
        <f>SUM(D117:D119)</f>
        <v>0</v>
      </c>
      <c r="E120" t="s">
        <v>34</v>
      </c>
      <c r="F120" s="7"/>
      <c r="G120" s="1"/>
    </row>
    <row r="121" spans="1:7" x14ac:dyDescent="0.15">
      <c r="G121" s="7"/>
    </row>
    <row r="122" spans="1:7" x14ac:dyDescent="0.15">
      <c r="C122" t="s">
        <v>32</v>
      </c>
      <c r="D122" s="20">
        <f>D116+D120</f>
        <v>0</v>
      </c>
      <c r="E122" t="s">
        <v>35</v>
      </c>
      <c r="F122" s="20"/>
      <c r="G122" s="7"/>
    </row>
    <row r="124" spans="1:7" x14ac:dyDescent="0.15">
      <c r="D124" s="7">
        <f>D122-D123</f>
        <v>0</v>
      </c>
      <c r="G124" s="7"/>
    </row>
    <row r="125" spans="1:7" x14ac:dyDescent="0.15">
      <c r="F125" s="7"/>
      <c r="G125" s="1"/>
    </row>
    <row r="127" spans="1:7" ht="17.25" x14ac:dyDescent="0.15">
      <c r="A127" s="12" t="s">
        <v>49</v>
      </c>
      <c r="C127" s="4"/>
      <c r="D127" s="6"/>
    </row>
    <row r="128" spans="1:7" ht="17.25" x14ac:dyDescent="0.15">
      <c r="A128" s="12"/>
      <c r="C128" s="4" t="s">
        <v>49</v>
      </c>
      <c r="D128" s="6"/>
      <c r="E128" s="3"/>
    </row>
    <row r="129" spans="3:5" x14ac:dyDescent="0.15">
      <c r="C129" s="4" t="s">
        <v>52</v>
      </c>
      <c r="D129" s="6"/>
      <c r="E129" s="3"/>
    </row>
    <row r="130" spans="3:5" x14ac:dyDescent="0.15">
      <c r="C130" s="4"/>
      <c r="D130" s="6"/>
    </row>
  </sheetData>
  <phoneticPr fontId="3"/>
  <conditionalFormatting sqref="C29">
    <cfRule type="containsText" dxfId="9" priority="6" operator="containsText" text="カード セブン">
      <formula>NOT(ISERROR(SEARCH("カード セブン",C29)))</formula>
    </cfRule>
    <cfRule type="expression" dxfId="8" priority="7">
      <formula>(C29="チャージ（現金）")</formula>
    </cfRule>
    <cfRule type="expression" dxfId="7" priority="8">
      <formula>(F29="収入")</formula>
    </cfRule>
    <cfRule type="expression" dxfId="6" priority="9">
      <formula>AND(D29=-500,E29="住信ＳＢＩ")</formula>
    </cfRule>
    <cfRule type="expression" dxfId="5" priority="10">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35"/>
  <sheetViews>
    <sheetView workbookViewId="0">
      <selection activeCell="B6" sqref="B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A4" s="22"/>
      <c r="B4" s="22"/>
      <c r="C4" s="22"/>
      <c r="D4" s="23"/>
      <c r="E4" s="53"/>
      <c r="F4" s="22"/>
      <c r="G4" s="22"/>
    </row>
    <row r="5" spans="1:8" x14ac:dyDescent="0.15">
      <c r="A5" s="22"/>
      <c r="B5" s="22"/>
      <c r="C5" s="22"/>
      <c r="D5" s="23"/>
      <c r="E5" s="53"/>
      <c r="F5" s="22"/>
      <c r="G5" s="22"/>
    </row>
    <row r="6" spans="1:8" x14ac:dyDescent="0.15">
      <c r="A6" s="22"/>
      <c r="B6" s="22"/>
      <c r="C6" s="22"/>
      <c r="D6" s="23"/>
      <c r="E6" s="53"/>
      <c r="F6" s="22"/>
      <c r="G6" s="22"/>
    </row>
    <row r="7" spans="1:8" x14ac:dyDescent="0.15">
      <c r="A7" s="22"/>
      <c r="B7" s="22"/>
      <c r="C7" s="22"/>
      <c r="D7" s="23"/>
      <c r="E7" s="53"/>
      <c r="F7" s="22"/>
      <c r="G7" s="22"/>
    </row>
    <row r="8" spans="1:8" x14ac:dyDescent="0.15">
      <c r="A8" s="22"/>
      <c r="B8" s="22"/>
      <c r="C8" s="22"/>
      <c r="D8" s="23"/>
      <c r="E8" s="53"/>
      <c r="F8" s="22"/>
      <c r="G8" s="22"/>
    </row>
    <row r="9" spans="1:8" x14ac:dyDescent="0.15">
      <c r="A9" s="22"/>
      <c r="B9" s="22"/>
      <c r="C9" s="22"/>
      <c r="D9" s="23"/>
      <c r="E9" s="53"/>
      <c r="F9" s="22"/>
      <c r="G9" s="22"/>
    </row>
    <row r="10" spans="1:8" x14ac:dyDescent="0.15">
      <c r="A10" s="22"/>
      <c r="B10" s="22"/>
      <c r="C10" s="22"/>
      <c r="D10" s="23"/>
      <c r="E10" s="53"/>
      <c r="F10" s="22"/>
      <c r="G10" s="22"/>
    </row>
    <row r="11" spans="1:8" x14ac:dyDescent="0.15">
      <c r="A11" s="22"/>
      <c r="B11" s="22"/>
      <c r="C11" s="22"/>
      <c r="D11" s="23"/>
      <c r="E11" s="53"/>
      <c r="F11" s="22"/>
      <c r="G11" s="22"/>
    </row>
    <row r="12" spans="1:8" x14ac:dyDescent="0.15">
      <c r="A12" s="22"/>
      <c r="B12" s="22"/>
      <c r="C12" s="22"/>
      <c r="D12" s="23"/>
      <c r="E12" s="53"/>
      <c r="F12" s="22"/>
      <c r="G12" s="22"/>
    </row>
    <row r="13" spans="1:8" x14ac:dyDescent="0.15">
      <c r="A13" s="22"/>
      <c r="B13" s="22"/>
      <c r="C13" s="22"/>
      <c r="D13" s="23"/>
      <c r="E13" s="53"/>
      <c r="F13" s="22"/>
      <c r="G13" s="22"/>
    </row>
    <row r="14" spans="1:8" x14ac:dyDescent="0.15">
      <c r="A14" s="22"/>
      <c r="B14" s="22"/>
      <c r="C14" s="22"/>
      <c r="D14" s="23"/>
      <c r="E14" s="53"/>
      <c r="F14" s="22"/>
      <c r="G14" s="22"/>
    </row>
    <row r="15" spans="1:8" x14ac:dyDescent="0.15">
      <c r="A15" s="22"/>
      <c r="B15" s="22"/>
      <c r="C15" s="22"/>
      <c r="D15" s="23"/>
      <c r="E15" s="53"/>
      <c r="F15" s="22"/>
      <c r="G15" s="22"/>
    </row>
    <row r="16" spans="1:8" x14ac:dyDescent="0.15">
      <c r="A16" s="22"/>
      <c r="B16" s="22"/>
      <c r="C16" s="22"/>
      <c r="D16" s="23"/>
      <c r="E16" s="53"/>
      <c r="F16" s="22"/>
      <c r="G16" s="22"/>
    </row>
    <row r="17" spans="1:8" x14ac:dyDescent="0.15">
      <c r="A17" s="22"/>
      <c r="B17" s="22"/>
      <c r="C17" s="22"/>
      <c r="D17" s="23"/>
      <c r="E17" s="53"/>
      <c r="F17" s="22"/>
      <c r="G17" s="22"/>
    </row>
    <row r="18" spans="1:8" x14ac:dyDescent="0.15">
      <c r="A18" s="22"/>
      <c r="B18" s="22"/>
      <c r="C18" s="22"/>
      <c r="D18" s="23"/>
      <c r="E18" s="53"/>
      <c r="F18" s="22"/>
      <c r="G18" s="22"/>
    </row>
    <row r="19" spans="1:8" x14ac:dyDescent="0.15">
      <c r="A19" s="22"/>
      <c r="B19" s="22"/>
      <c r="C19" s="22"/>
      <c r="D19" s="23"/>
      <c r="E19" s="53"/>
      <c r="F19" s="22"/>
      <c r="G19" s="22"/>
    </row>
    <row r="20" spans="1:8" x14ac:dyDescent="0.15">
      <c r="A20" s="22"/>
      <c r="B20" s="22"/>
      <c r="C20" s="22"/>
      <c r="D20" s="23"/>
      <c r="E20" s="53"/>
      <c r="F20" s="22"/>
      <c r="G20" s="22"/>
    </row>
    <row r="21" spans="1:8" x14ac:dyDescent="0.15">
      <c r="A21" s="22"/>
      <c r="B21" s="22"/>
      <c r="C21" s="22"/>
      <c r="D21" s="23"/>
      <c r="E21" s="53"/>
      <c r="F21" s="22"/>
      <c r="G21" s="22"/>
    </row>
    <row r="22" spans="1:8" x14ac:dyDescent="0.15">
      <c r="A22" s="22"/>
      <c r="B22" s="22"/>
      <c r="C22" s="22"/>
      <c r="D22" s="23"/>
      <c r="E22" s="53"/>
      <c r="F22" s="22"/>
      <c r="G22" s="22"/>
    </row>
    <row r="23" spans="1:8" x14ac:dyDescent="0.15">
      <c r="A23" s="22"/>
      <c r="B23" s="22"/>
      <c r="C23" s="22"/>
      <c r="D23" s="23"/>
      <c r="E23" s="53"/>
      <c r="F23" s="22"/>
      <c r="G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row>
    <row r="28" spans="1:8" x14ac:dyDescent="0.15">
      <c r="A28" s="22"/>
      <c r="B28" s="22"/>
      <c r="C28" s="23"/>
      <c r="D28" s="23"/>
      <c r="E28" s="53"/>
      <c r="F28" s="22"/>
      <c r="G28" s="22"/>
      <c r="H28" s="22"/>
    </row>
    <row r="29" spans="1:8" x14ac:dyDescent="0.15">
      <c r="A29" s="22"/>
      <c r="B29" s="22"/>
      <c r="C29" s="22"/>
      <c r="D29" s="23"/>
      <c r="E29" s="53"/>
      <c r="F29" s="22"/>
      <c r="G29" s="22"/>
    </row>
    <row r="30" spans="1:8" x14ac:dyDescent="0.15">
      <c r="A30" s="22"/>
      <c r="B30" s="22"/>
      <c r="C30" s="22"/>
      <c r="D30" s="23"/>
      <c r="E30" s="22"/>
      <c r="F30" s="22"/>
      <c r="G30" s="22"/>
    </row>
    <row r="31" spans="1:8" x14ac:dyDescent="0.15">
      <c r="A31" s="22"/>
      <c r="B31" s="22"/>
      <c r="C31" s="22"/>
      <c r="D31" s="23"/>
      <c r="E31" s="22"/>
      <c r="F31" s="22"/>
      <c r="G31" s="22"/>
    </row>
    <row r="32" spans="1:8" x14ac:dyDescent="0.15">
      <c r="A32" s="22"/>
      <c r="B32" s="22"/>
      <c r="C32" s="22"/>
      <c r="D32" s="23"/>
      <c r="E32" s="22"/>
      <c r="F32" s="22"/>
      <c r="G32" s="22"/>
      <c r="H32" s="22"/>
    </row>
    <row r="33" spans="1:8" x14ac:dyDescent="0.15">
      <c r="A33" s="22"/>
      <c r="B33" s="22"/>
      <c r="C33" s="22"/>
      <c r="D33" s="23"/>
      <c r="E33" s="23"/>
      <c r="F33" s="22"/>
      <c r="G33" s="22"/>
      <c r="H33" s="22"/>
    </row>
    <row r="34" spans="1:8" x14ac:dyDescent="0.15">
      <c r="A34" s="22"/>
      <c r="B34" s="22"/>
      <c r="C34" s="22"/>
      <c r="D34" s="23"/>
      <c r="E34" s="22"/>
      <c r="F34" s="22"/>
      <c r="G34" s="22"/>
    </row>
    <row r="35" spans="1:8" x14ac:dyDescent="0.15">
      <c r="A35" s="22"/>
      <c r="B35" s="22"/>
      <c r="C35" s="22"/>
      <c r="D35" s="23"/>
      <c r="E35" s="22"/>
      <c r="F35" s="22"/>
      <c r="G35" s="22"/>
    </row>
    <row r="36" spans="1:8" x14ac:dyDescent="0.15">
      <c r="A36" s="22"/>
      <c r="B36" s="22"/>
      <c r="C36" s="22"/>
      <c r="D36" s="23"/>
      <c r="E36" s="22"/>
      <c r="F36" s="22"/>
      <c r="G36" s="22"/>
      <c r="H36" s="22"/>
    </row>
    <row r="37" spans="1:8" x14ac:dyDescent="0.15">
      <c r="A37" s="22"/>
      <c r="B37" s="22"/>
      <c r="C37" s="22"/>
      <c r="D37" s="23"/>
      <c r="E37" s="22"/>
      <c r="F37" s="22"/>
      <c r="G37" s="22"/>
      <c r="H37" s="22"/>
    </row>
    <row r="38" spans="1:8" x14ac:dyDescent="0.15">
      <c r="A38" s="22"/>
      <c r="B38" s="22"/>
      <c r="C38" s="22"/>
      <c r="D38" s="23"/>
      <c r="E38" s="22"/>
      <c r="F38" s="22"/>
      <c r="G38" s="22"/>
      <c r="H38" s="22"/>
    </row>
    <row r="39" spans="1:8" x14ac:dyDescent="0.15">
      <c r="A39" s="22"/>
      <c r="B39" s="22"/>
      <c r="C39" s="22"/>
      <c r="D39" s="23"/>
      <c r="E39" s="22"/>
      <c r="F39" s="22"/>
      <c r="G39" s="22"/>
      <c r="H39" s="22"/>
    </row>
    <row r="40" spans="1:8" x14ac:dyDescent="0.15">
      <c r="A40" s="22"/>
      <c r="B40" s="22"/>
      <c r="C40" s="22"/>
      <c r="D40" s="23"/>
      <c r="E40" s="22"/>
      <c r="F40" s="22"/>
      <c r="G40" s="22"/>
      <c r="H40" s="22"/>
    </row>
    <row r="41" spans="1:8" x14ac:dyDescent="0.15">
      <c r="A41" s="22"/>
      <c r="B41" s="22"/>
      <c r="C41" s="22"/>
      <c r="D41" s="23"/>
      <c r="E41" s="22"/>
      <c r="F41" s="22"/>
      <c r="G41" s="22"/>
      <c r="H41" s="22"/>
    </row>
    <row r="42" spans="1:8" x14ac:dyDescent="0.15">
      <c r="A42" s="22"/>
      <c r="B42" s="22"/>
      <c r="C42" s="22"/>
      <c r="D42" s="23"/>
      <c r="E42" s="22"/>
      <c r="F42" s="22"/>
      <c r="G42" s="22"/>
      <c r="H42" s="22"/>
    </row>
    <row r="43" spans="1:8" x14ac:dyDescent="0.15">
      <c r="A43" s="22"/>
      <c r="B43" s="22"/>
      <c r="C43" s="22"/>
      <c r="D43" s="23"/>
      <c r="E43" s="23"/>
      <c r="F43" s="22"/>
      <c r="G43" s="22"/>
    </row>
    <row r="44" spans="1:8" x14ac:dyDescent="0.15">
      <c r="A44" s="22"/>
      <c r="B44" s="22"/>
      <c r="C44" s="22"/>
      <c r="D44" s="23"/>
      <c r="E44" s="22"/>
      <c r="F44" s="22"/>
      <c r="G44" s="22"/>
      <c r="H44" s="22"/>
    </row>
    <row r="45" spans="1:8" x14ac:dyDescent="0.15">
      <c r="A45" s="22"/>
      <c r="B45" s="22"/>
      <c r="C45" s="22"/>
      <c r="D45" s="23"/>
      <c r="E45" s="22"/>
      <c r="F45" s="22"/>
      <c r="G45" s="22"/>
      <c r="H45" s="22"/>
    </row>
    <row r="46" spans="1:8" x14ac:dyDescent="0.15">
      <c r="A46" s="22"/>
      <c r="B46" s="22"/>
      <c r="C46" s="22"/>
      <c r="D46" s="23"/>
      <c r="E46" s="22"/>
      <c r="F46" s="22"/>
      <c r="G46" s="22"/>
      <c r="H46" s="22"/>
    </row>
    <row r="47" spans="1:8" x14ac:dyDescent="0.15">
      <c r="A47" s="22"/>
      <c r="B47" s="22"/>
      <c r="C47" s="22"/>
      <c r="D47" s="23"/>
      <c r="E47" s="22"/>
      <c r="F47" s="22"/>
      <c r="G47" s="22"/>
      <c r="H47" s="22"/>
    </row>
    <row r="48" spans="1:8" x14ac:dyDescent="0.15">
      <c r="A48" s="22"/>
      <c r="B48" s="22"/>
      <c r="C48" s="22"/>
      <c r="D48" s="23"/>
      <c r="E48" s="22"/>
      <c r="F48" s="22"/>
      <c r="G48" s="22"/>
    </row>
    <row r="49" spans="3:8" x14ac:dyDescent="0.15">
      <c r="D49" s="6"/>
    </row>
    <row r="50" spans="3:8" x14ac:dyDescent="0.15">
      <c r="D50" s="6"/>
      <c r="H50" s="22"/>
    </row>
    <row r="51" spans="3:8" x14ac:dyDescent="0.15">
      <c r="D51" s="6"/>
      <c r="H51" s="22"/>
    </row>
    <row r="52" spans="3:8" x14ac:dyDescent="0.15">
      <c r="D52" s="6"/>
      <c r="H52" s="22"/>
    </row>
    <row r="53" spans="3:8" x14ac:dyDescent="0.15">
      <c r="D53" s="6"/>
      <c r="E53" s="1"/>
    </row>
    <row r="54" spans="3:8" x14ac:dyDescent="0.15">
      <c r="D54" s="6"/>
      <c r="E54" s="1"/>
    </row>
    <row r="55" spans="3:8" x14ac:dyDescent="0.15">
      <c r="D55" s="6"/>
      <c r="E55" s="1"/>
    </row>
    <row r="56" spans="3:8" x14ac:dyDescent="0.15">
      <c r="D56" s="6"/>
      <c r="E56" s="1"/>
    </row>
    <row r="57" spans="3:8" x14ac:dyDescent="0.15">
      <c r="D57" s="6"/>
      <c r="E57" s="1"/>
    </row>
    <row r="58" spans="3:8" ht="14.25" thickBot="1" x14ac:dyDescent="0.2"/>
    <row r="59" spans="3:8" ht="14.25" thickBot="1" x14ac:dyDescent="0.2">
      <c r="C59" s="4"/>
      <c r="D59" s="9">
        <f>SUM(D4:D57)</f>
        <v>0</v>
      </c>
      <c r="E59" t="s">
        <v>28</v>
      </c>
    </row>
    <row r="60" spans="3:8" x14ac:dyDescent="0.15">
      <c r="C60" s="4"/>
    </row>
    <row r="61" spans="3:8" x14ac:dyDescent="0.15">
      <c r="C61" s="4"/>
    </row>
    <row r="62" spans="3:8" x14ac:dyDescent="0.15">
      <c r="C62" s="4"/>
    </row>
    <row r="63" spans="3:8" x14ac:dyDescent="0.15">
      <c r="C63" s="4"/>
    </row>
    <row r="64" spans="3:8" x14ac:dyDescent="0.15">
      <c r="C64" s="4"/>
    </row>
    <row r="65" spans="1:8" x14ac:dyDescent="0.15">
      <c r="C65" s="4"/>
    </row>
    <row r="67" spans="1:8" x14ac:dyDescent="0.15">
      <c r="C67" s="4"/>
    </row>
    <row r="68" spans="1:8" ht="17.25" x14ac:dyDescent="0.15">
      <c r="A68" s="12" t="s">
        <v>25</v>
      </c>
      <c r="C68" s="4"/>
      <c r="D68" s="6"/>
    </row>
    <row r="69" spans="1:8" ht="13.5" customHeight="1" x14ac:dyDescent="0.15">
      <c r="A69" s="12"/>
      <c r="B69" t="s">
        <v>6</v>
      </c>
      <c r="C69" s="4" t="s">
        <v>5</v>
      </c>
      <c r="D69" s="6" t="s">
        <v>4</v>
      </c>
      <c r="E69" t="s">
        <v>3</v>
      </c>
      <c r="F69" t="s">
        <v>9</v>
      </c>
      <c r="G69" t="s">
        <v>10</v>
      </c>
      <c r="H69" t="s">
        <v>11</v>
      </c>
    </row>
    <row r="70" spans="1:8" x14ac:dyDescent="0.15">
      <c r="C70" s="8"/>
      <c r="D70" s="23"/>
    </row>
    <row r="71" spans="1:8" x14ac:dyDescent="0.15">
      <c r="B71" s="22"/>
      <c r="C71" s="22"/>
      <c r="D71" s="23"/>
      <c r="E71" s="53"/>
      <c r="F71" s="22"/>
      <c r="G71" s="22"/>
    </row>
    <row r="72" spans="1:8" x14ac:dyDescent="0.15">
      <c r="D72" s="6"/>
      <c r="E72" s="1"/>
    </row>
    <row r="73" spans="1:8" x14ac:dyDescent="0.15">
      <c r="D73" s="6"/>
      <c r="E73" s="1"/>
    </row>
    <row r="74" spans="1:8" x14ac:dyDescent="0.15">
      <c r="B74" s="22"/>
      <c r="C74" s="22"/>
      <c r="D74" s="23"/>
      <c r="E74" s="22"/>
      <c r="F74" s="22"/>
      <c r="G74" s="22"/>
    </row>
    <row r="75" spans="1:8" x14ac:dyDescent="0.15">
      <c r="D75" s="6"/>
    </row>
    <row r="76" spans="1:8" x14ac:dyDescent="0.15">
      <c r="D76" s="6"/>
    </row>
    <row r="77" spans="1:8" x14ac:dyDescent="0.15">
      <c r="D77" s="6"/>
    </row>
    <row r="78" spans="1:8" x14ac:dyDescent="0.15">
      <c r="D78" s="6"/>
    </row>
    <row r="79" spans="1:8" x14ac:dyDescent="0.15">
      <c r="D79" s="6"/>
      <c r="E79" s="1"/>
    </row>
    <row r="80" spans="1:8" x14ac:dyDescent="0.15">
      <c r="D80" s="6"/>
    </row>
    <row r="81" spans="1:8" x14ac:dyDescent="0.15">
      <c r="C81" s="4"/>
      <c r="D81" s="23"/>
    </row>
    <row r="82" spans="1:8" ht="14.25" thickBot="1" x14ac:dyDescent="0.2">
      <c r="D82" s="6"/>
      <c r="E82" s="6"/>
      <c r="F82" s="7"/>
      <c r="G82" s="7"/>
      <c r="H82" s="7"/>
    </row>
    <row r="83" spans="1:8" ht="14.25" thickBot="1" x14ac:dyDescent="0.2">
      <c r="C83" s="4"/>
      <c r="D83" s="9">
        <f>SUM(D70:D82)</f>
        <v>0</v>
      </c>
    </row>
    <row r="84" spans="1:8" x14ac:dyDescent="0.15">
      <c r="C84" s="4"/>
      <c r="D84" s="7"/>
    </row>
    <row r="85" spans="1:8" x14ac:dyDescent="0.15">
      <c r="C85" s="4"/>
      <c r="D85" s="7"/>
    </row>
    <row r="87" spans="1:8" x14ac:dyDescent="0.15">
      <c r="C87" s="4"/>
    </row>
    <row r="88" spans="1:8" ht="17.25" x14ac:dyDescent="0.15">
      <c r="A88" s="12" t="s">
        <v>27</v>
      </c>
      <c r="C88" s="4"/>
      <c r="D88" s="6"/>
    </row>
    <row r="89" spans="1:8" ht="13.5" customHeight="1" x14ac:dyDescent="0.15">
      <c r="A89" s="12"/>
      <c r="B89" t="s">
        <v>6</v>
      </c>
      <c r="C89" s="4" t="s">
        <v>5</v>
      </c>
      <c r="D89" s="6" t="s">
        <v>4</v>
      </c>
      <c r="E89" t="s">
        <v>3</v>
      </c>
      <c r="F89" t="s">
        <v>9</v>
      </c>
      <c r="G89" t="s">
        <v>10</v>
      </c>
      <c r="H89" t="s">
        <v>11</v>
      </c>
    </row>
    <row r="90" spans="1:8" ht="13.5" customHeight="1" x14ac:dyDescent="0.15">
      <c r="A90" s="12"/>
      <c r="D90" s="6"/>
      <c r="E90" s="1"/>
      <c r="H90" s="22"/>
    </row>
    <row r="91" spans="1:8" x14ac:dyDescent="0.15">
      <c r="D91" s="6"/>
      <c r="E91" s="1"/>
    </row>
    <row r="92" spans="1:8" x14ac:dyDescent="0.15">
      <c r="D92" s="6"/>
      <c r="H92" s="22"/>
    </row>
    <row r="93" spans="1:8" x14ac:dyDescent="0.15">
      <c r="D93" s="6"/>
      <c r="E93" s="1"/>
    </row>
    <row r="94" spans="1:8" x14ac:dyDescent="0.15">
      <c r="C94" s="4"/>
      <c r="D94" s="6"/>
    </row>
    <row r="95" spans="1:8" x14ac:dyDescent="0.15">
      <c r="D95" s="6"/>
    </row>
    <row r="96" spans="1:8" x14ac:dyDescent="0.15">
      <c r="D96" s="6"/>
      <c r="E96" s="1"/>
    </row>
    <row r="97" spans="1:8" ht="14.25" thickBot="1" x14ac:dyDescent="0.2">
      <c r="D97" s="6"/>
    </row>
    <row r="98" spans="1:8" ht="14.25" thickBot="1" x14ac:dyDescent="0.2">
      <c r="C98" s="4"/>
      <c r="D98" s="9">
        <f>SUM(D90:D96)</f>
        <v>0</v>
      </c>
      <c r="E98" t="s">
        <v>30</v>
      </c>
    </row>
    <row r="99" spans="1:8" x14ac:dyDescent="0.15">
      <c r="C99" s="4"/>
      <c r="D99" s="6"/>
    </row>
    <row r="101" spans="1:8" x14ac:dyDescent="0.15">
      <c r="C101" s="4"/>
    </row>
    <row r="102" spans="1:8" ht="17.25" x14ac:dyDescent="0.15">
      <c r="A102" s="12" t="s">
        <v>26</v>
      </c>
      <c r="C102" s="4"/>
      <c r="D102" s="6"/>
    </row>
    <row r="103" spans="1:8" ht="13.5" customHeight="1" x14ac:dyDescent="0.15">
      <c r="A103" s="12"/>
      <c r="B103" t="s">
        <v>6</v>
      </c>
      <c r="C103" s="4" t="s">
        <v>5</v>
      </c>
      <c r="D103" s="6" t="s">
        <v>4</v>
      </c>
      <c r="E103" t="s">
        <v>3</v>
      </c>
      <c r="F103" t="s">
        <v>9</v>
      </c>
      <c r="G103" t="s">
        <v>10</v>
      </c>
      <c r="H103" t="s">
        <v>11</v>
      </c>
    </row>
    <row r="104" spans="1:8" ht="14.25" customHeight="1" x14ac:dyDescent="0.15">
      <c r="A104" s="12"/>
      <c r="D104" s="6"/>
      <c r="E104" s="1"/>
    </row>
    <row r="105" spans="1:8" ht="13.5" customHeight="1" x14ac:dyDescent="0.15">
      <c r="D105" s="6"/>
      <c r="E105" s="1"/>
    </row>
    <row r="106" spans="1:8" x14ac:dyDescent="0.15">
      <c r="D106" s="6"/>
      <c r="E106" s="1"/>
    </row>
    <row r="107" spans="1:8" x14ac:dyDescent="0.15">
      <c r="D107" s="23"/>
    </row>
    <row r="108" spans="1:8" x14ac:dyDescent="0.15">
      <c r="D108" s="58"/>
    </row>
    <row r="109" spans="1:8" x14ac:dyDescent="0.15">
      <c r="D109" s="21"/>
    </row>
    <row r="110" spans="1:8" x14ac:dyDescent="0.15">
      <c r="D110" s="6"/>
      <c r="E110" s="1"/>
    </row>
    <row r="111" spans="1:8" ht="14.25" thickBot="1" x14ac:dyDescent="0.2">
      <c r="D111" s="21"/>
    </row>
    <row r="112" spans="1:8" ht="14.25" thickBot="1" x14ac:dyDescent="0.2">
      <c r="D112" s="10">
        <f>SUM(D104:D111)</f>
        <v>0</v>
      </c>
      <c r="E112" t="s">
        <v>31</v>
      </c>
    </row>
    <row r="113" spans="1:7" x14ac:dyDescent="0.15">
      <c r="D113" s="11"/>
    </row>
    <row r="114" spans="1:7" x14ac:dyDescent="0.15">
      <c r="C114" s="1"/>
    </row>
    <row r="117" spans="1:7" ht="33" customHeight="1" x14ac:dyDescent="0.15">
      <c r="A117" s="12" t="s">
        <v>32</v>
      </c>
      <c r="C117" s="5"/>
      <c r="D117" s="16"/>
    </row>
    <row r="118" spans="1:7" ht="13.5" customHeight="1" x14ac:dyDescent="0.15"/>
    <row r="119" spans="1:7" ht="14.25" thickBot="1" x14ac:dyDescent="0.2">
      <c r="C119" s="14" t="str">
        <f>A102</f>
        <v>収入</v>
      </c>
      <c r="D119" s="15">
        <f>D112</f>
        <v>0</v>
      </c>
      <c r="E119" s="14" t="str">
        <f>E112</f>
        <v>(d)</v>
      </c>
    </row>
    <row r="120" spans="1:7" ht="14.25" thickTop="1" x14ac:dyDescent="0.15">
      <c r="C120" s="13" t="str">
        <f>A1</f>
        <v>雑費</v>
      </c>
      <c r="D120" s="17">
        <f>D59</f>
        <v>0</v>
      </c>
      <c r="E120" t="str">
        <f>E59</f>
        <v>(a)</v>
      </c>
      <c r="G120" s="1"/>
    </row>
    <row r="121" spans="1:7" x14ac:dyDescent="0.15">
      <c r="C121" s="5" t="str">
        <f>A68</f>
        <v>固定費</v>
      </c>
      <c r="D121" s="17">
        <f>D83</f>
        <v>0</v>
      </c>
      <c r="E121">
        <f>E83</f>
        <v>0</v>
      </c>
      <c r="G121" s="1"/>
    </row>
    <row r="122" spans="1:7" ht="14.25" thickBot="1" x14ac:dyDescent="0.2">
      <c r="C122" s="14" t="str">
        <f>A88</f>
        <v>特別経費</v>
      </c>
      <c r="D122" s="18">
        <f>D98</f>
        <v>0</v>
      </c>
      <c r="E122" s="14" t="str">
        <f>E98</f>
        <v>(c)</v>
      </c>
    </row>
    <row r="123" spans="1:7" ht="14.25" thickTop="1" x14ac:dyDescent="0.15">
      <c r="C123" t="s">
        <v>33</v>
      </c>
      <c r="D123" s="19">
        <f>SUM(D120:D122)</f>
        <v>0</v>
      </c>
      <c r="E123" t="s">
        <v>34</v>
      </c>
      <c r="F123" s="7"/>
      <c r="G123" s="1"/>
    </row>
    <row r="124" spans="1:7" x14ac:dyDescent="0.15">
      <c r="G124" s="7"/>
    </row>
    <row r="125" spans="1:7" x14ac:dyDescent="0.15">
      <c r="C125" t="s">
        <v>32</v>
      </c>
      <c r="D125" s="20">
        <f>D119+D123</f>
        <v>0</v>
      </c>
      <c r="E125" t="s">
        <v>35</v>
      </c>
      <c r="F125" s="20"/>
      <c r="G125" s="7"/>
    </row>
    <row r="127" spans="1:7" x14ac:dyDescent="0.15">
      <c r="D127" s="7">
        <f>D125-D126</f>
        <v>0</v>
      </c>
      <c r="G127" s="7"/>
    </row>
    <row r="128" spans="1:7" x14ac:dyDescent="0.15">
      <c r="F128" s="7"/>
      <c r="G128" s="1"/>
    </row>
    <row r="130" spans="1:7" ht="17.25" x14ac:dyDescent="0.15">
      <c r="A130" s="12" t="s">
        <v>49</v>
      </c>
      <c r="C130" s="4"/>
      <c r="D130" s="6"/>
    </row>
    <row r="131" spans="1:7" ht="17.25" x14ac:dyDescent="0.15">
      <c r="A131" s="12"/>
      <c r="C131" s="4" t="s">
        <v>49</v>
      </c>
      <c r="D131" s="6"/>
      <c r="E131" s="3"/>
    </row>
    <row r="132" spans="1:7" x14ac:dyDescent="0.15">
      <c r="C132" s="4" t="s">
        <v>52</v>
      </c>
      <c r="D132" s="6"/>
      <c r="E132" s="3"/>
    </row>
    <row r="133" spans="1:7" x14ac:dyDescent="0.15">
      <c r="C133" s="4"/>
      <c r="D133" s="6"/>
    </row>
    <row r="135" spans="1:7" x14ac:dyDescent="0.15">
      <c r="E135" s="1"/>
      <c r="F135" s="1"/>
      <c r="G135" s="1"/>
    </row>
  </sheetData>
  <phoneticPr fontId="3"/>
  <conditionalFormatting sqref="C29">
    <cfRule type="containsText" dxfId="4" priority="1" operator="containsText" text="カード セブン">
      <formula>NOT(ISERROR(SEARCH("カード セブン",C29)))</formula>
    </cfRule>
    <cfRule type="expression" dxfId="3" priority="2">
      <formula>(C29="チャージ（現金）")</formula>
    </cfRule>
    <cfRule type="expression" dxfId="2" priority="3">
      <formula>(F29="収入")</formula>
    </cfRule>
    <cfRule type="expression" dxfId="1" priority="4">
      <formula>AND(D29=-500,E29="住信ＳＢＩ")</formula>
    </cfRule>
    <cfRule type="expression" dxfId="0" priority="5">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413"/>
  <sheetViews>
    <sheetView workbookViewId="0"/>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c r="D1" s="2" t="s">
        <v>203</v>
      </c>
    </row>
    <row r="2" spans="1:8" x14ac:dyDescent="0.15">
      <c r="D2" s="2" t="s">
        <v>203</v>
      </c>
    </row>
    <row r="3" spans="1:8" x14ac:dyDescent="0.15">
      <c r="A3" t="s">
        <v>8</v>
      </c>
      <c r="B3" s="67" t="s">
        <v>6</v>
      </c>
      <c r="C3" s="4" t="s">
        <v>5</v>
      </c>
      <c r="D3" s="2" t="s">
        <v>4</v>
      </c>
      <c r="E3" t="s">
        <v>3</v>
      </c>
      <c r="F3" t="s">
        <v>9</v>
      </c>
      <c r="G3" t="s">
        <v>10</v>
      </c>
      <c r="H3" t="s">
        <v>11</v>
      </c>
    </row>
    <row r="4" spans="1:8" x14ac:dyDescent="0.15">
      <c r="D4" s="59"/>
      <c r="H4" s="22"/>
    </row>
    <row r="8" spans="1:8" x14ac:dyDescent="0.15">
      <c r="D8" s="59"/>
      <c r="H8" s="22"/>
    </row>
    <row r="9" spans="1:8" x14ac:dyDescent="0.15">
      <c r="D9" s="59"/>
      <c r="H9" s="22"/>
    </row>
    <row r="10" spans="1:8" x14ac:dyDescent="0.15">
      <c r="D10" s="59"/>
      <c r="H10" s="22"/>
    </row>
    <row r="11" spans="1:8" x14ac:dyDescent="0.15">
      <c r="D11" s="59"/>
      <c r="H11" s="22"/>
    </row>
    <row r="12" spans="1:8" x14ac:dyDescent="0.15">
      <c r="D12" s="59"/>
    </row>
    <row r="13" spans="1:8" x14ac:dyDescent="0.15">
      <c r="A13" s="22"/>
      <c r="C13" s="6"/>
      <c r="D13" s="59"/>
      <c r="E13" s="1"/>
      <c r="H13" s="22"/>
    </row>
    <row r="15" spans="1:8" x14ac:dyDescent="0.15">
      <c r="D15" s="59"/>
      <c r="H15" s="22"/>
    </row>
    <row r="16" spans="1:8" x14ac:dyDescent="0.15">
      <c r="D16" s="59"/>
      <c r="H16" s="22"/>
    </row>
    <row r="17" spans="1:8" x14ac:dyDescent="0.15">
      <c r="D17" s="59"/>
      <c r="H17" s="22"/>
    </row>
    <row r="20" spans="1:8" x14ac:dyDescent="0.15">
      <c r="D20" s="59"/>
      <c r="E20" s="1"/>
    </row>
    <row r="22" spans="1:8" x14ac:dyDescent="0.15">
      <c r="D22" s="59"/>
      <c r="E22" s="1"/>
    </row>
    <row r="24" spans="1:8" x14ac:dyDescent="0.15">
      <c r="D24" s="59"/>
      <c r="H24" s="22"/>
    </row>
    <row r="25" spans="1:8" x14ac:dyDescent="0.15">
      <c r="D25" s="59"/>
      <c r="H25" s="22"/>
    </row>
    <row r="26" spans="1:8" x14ac:dyDescent="0.15">
      <c r="D26" s="59"/>
      <c r="E26" s="6"/>
      <c r="H26" s="22"/>
    </row>
    <row r="27" spans="1:8" x14ac:dyDescent="0.15">
      <c r="D27" s="59"/>
      <c r="H27" s="22"/>
    </row>
    <row r="28" spans="1:8" x14ac:dyDescent="0.15">
      <c r="D28" s="59"/>
      <c r="H28" s="22"/>
    </row>
    <row r="29" spans="1:8" x14ac:dyDescent="0.15">
      <c r="D29" s="59"/>
      <c r="H29" s="22"/>
    </row>
    <row r="30" spans="1:8" x14ac:dyDescent="0.15">
      <c r="A30" s="22"/>
      <c r="D30" s="59"/>
      <c r="E30" s="6"/>
    </row>
    <row r="32" spans="1:8" x14ac:dyDescent="0.15">
      <c r="D32" s="59"/>
    </row>
    <row r="34" spans="1:8" x14ac:dyDescent="0.15">
      <c r="A34" s="22"/>
      <c r="C34" s="6"/>
      <c r="D34" s="59"/>
      <c r="E34" s="1"/>
      <c r="H34" s="22"/>
    </row>
    <row r="37" spans="1:8" x14ac:dyDescent="0.15">
      <c r="A37" s="22"/>
      <c r="D37" s="59"/>
      <c r="E37" s="6"/>
    </row>
    <row r="39" spans="1:8" x14ac:dyDescent="0.15">
      <c r="D39" s="59"/>
      <c r="H39" s="22"/>
    </row>
    <row r="40" spans="1:8" x14ac:dyDescent="0.15">
      <c r="D40" s="59"/>
      <c r="H40" s="22"/>
    </row>
    <row r="41" spans="1:8" x14ac:dyDescent="0.15">
      <c r="D41" s="59"/>
      <c r="H41" s="22"/>
    </row>
    <row r="42" spans="1:8" x14ac:dyDescent="0.15">
      <c r="D42" s="59"/>
      <c r="H42" s="22"/>
    </row>
    <row r="43" spans="1:8" x14ac:dyDescent="0.15">
      <c r="D43" s="59"/>
    </row>
    <row r="44" spans="1:8" x14ac:dyDescent="0.15">
      <c r="H44" s="22"/>
    </row>
    <row r="45" spans="1:8" x14ac:dyDescent="0.15">
      <c r="D45" s="59"/>
      <c r="H45" s="22"/>
    </row>
    <row r="46" spans="1:8" x14ac:dyDescent="0.15">
      <c r="D46" s="59"/>
      <c r="E46" s="1"/>
    </row>
    <row r="48" spans="1:8" x14ac:dyDescent="0.15">
      <c r="D48" s="59"/>
      <c r="H48" s="22"/>
    </row>
    <row r="49" spans="4:8" x14ac:dyDescent="0.15">
      <c r="D49" s="59"/>
      <c r="H49" s="22"/>
    </row>
    <row r="50" spans="4:8" x14ac:dyDescent="0.15">
      <c r="D50" s="59"/>
    </row>
    <row r="55" spans="4:8" x14ac:dyDescent="0.15">
      <c r="D55" s="59"/>
      <c r="E55" s="6"/>
      <c r="H55" s="22"/>
    </row>
    <row r="56" spans="4:8" x14ac:dyDescent="0.15">
      <c r="D56" s="59"/>
      <c r="H56" s="22"/>
    </row>
    <row r="58" spans="4:8" x14ac:dyDescent="0.15">
      <c r="H58" s="22"/>
    </row>
    <row r="59" spans="4:8" x14ac:dyDescent="0.15">
      <c r="D59" s="59"/>
      <c r="H59" s="22"/>
    </row>
    <row r="60" spans="4:8" x14ac:dyDescent="0.15">
      <c r="D60" s="59"/>
      <c r="H60" s="22"/>
    </row>
    <row r="62" spans="4:8" x14ac:dyDescent="0.15">
      <c r="H62" s="22"/>
    </row>
    <row r="63" spans="4:8" x14ac:dyDescent="0.15">
      <c r="D63" s="59"/>
      <c r="H63" s="22"/>
    </row>
    <row r="64" spans="4:8" x14ac:dyDescent="0.15">
      <c r="D64" s="59"/>
      <c r="H64" s="22"/>
    </row>
    <row r="65" spans="4:8" x14ac:dyDescent="0.15">
      <c r="D65" s="59"/>
      <c r="H65" s="22"/>
    </row>
    <row r="66" spans="4:8" x14ac:dyDescent="0.15">
      <c r="D66" s="59"/>
      <c r="H66" s="22"/>
    </row>
    <row r="67" spans="4:8" x14ac:dyDescent="0.15">
      <c r="D67" s="59"/>
      <c r="H67" s="22"/>
    </row>
    <row r="68" spans="4:8" x14ac:dyDescent="0.15">
      <c r="D68" s="59"/>
      <c r="H68" s="22"/>
    </row>
    <row r="69" spans="4:8" x14ac:dyDescent="0.15">
      <c r="D69" s="59"/>
      <c r="H69" s="22"/>
    </row>
    <row r="70" spans="4:8" x14ac:dyDescent="0.15">
      <c r="D70" s="59"/>
      <c r="H70" s="22"/>
    </row>
    <row r="71" spans="4:8" x14ac:dyDescent="0.15">
      <c r="D71" s="59"/>
      <c r="H71" s="22"/>
    </row>
    <row r="72" spans="4:8" x14ac:dyDescent="0.15">
      <c r="D72" s="59"/>
      <c r="H72" s="22"/>
    </row>
    <row r="73" spans="4:8" x14ac:dyDescent="0.15">
      <c r="D73" s="59"/>
      <c r="H73" s="22"/>
    </row>
    <row r="74" spans="4:8" x14ac:dyDescent="0.15">
      <c r="D74" s="59"/>
      <c r="H74" s="22"/>
    </row>
    <row r="75" spans="4:8" x14ac:dyDescent="0.15">
      <c r="D75" s="59"/>
      <c r="H75" s="22"/>
    </row>
    <row r="76" spans="4:8" x14ac:dyDescent="0.15">
      <c r="D76" s="59"/>
      <c r="H76" s="22"/>
    </row>
    <row r="77" spans="4:8" x14ac:dyDescent="0.15">
      <c r="D77" s="59"/>
      <c r="H77" s="22"/>
    </row>
    <row r="78" spans="4:8" x14ac:dyDescent="0.15">
      <c r="D78" s="59"/>
      <c r="H78" s="22"/>
    </row>
    <row r="79" spans="4:8" x14ac:dyDescent="0.15">
      <c r="D79" s="59"/>
      <c r="H79" s="22"/>
    </row>
    <row r="80" spans="4:8" x14ac:dyDescent="0.15">
      <c r="D80" s="59"/>
      <c r="H80" s="22"/>
    </row>
    <row r="81" spans="4:8" x14ac:dyDescent="0.15">
      <c r="D81" s="59"/>
      <c r="H81" s="22"/>
    </row>
    <row r="82" spans="4:8" x14ac:dyDescent="0.15">
      <c r="D82" s="59"/>
      <c r="H82" s="22"/>
    </row>
    <row r="83" spans="4:8" x14ac:dyDescent="0.15">
      <c r="D83" s="59"/>
      <c r="H83" s="22"/>
    </row>
    <row r="84" spans="4:8" x14ac:dyDescent="0.15">
      <c r="D84" s="59"/>
      <c r="H84" s="22"/>
    </row>
    <row r="85" spans="4:8" x14ac:dyDescent="0.15">
      <c r="D85" s="59"/>
      <c r="H85" s="22"/>
    </row>
    <row r="86" spans="4:8" x14ac:dyDescent="0.15">
      <c r="D86" s="59"/>
      <c r="H86" s="22"/>
    </row>
    <row r="87" spans="4:8" x14ac:dyDescent="0.15">
      <c r="D87" s="59"/>
      <c r="H87" s="22"/>
    </row>
    <row r="88" spans="4:8" x14ac:dyDescent="0.15">
      <c r="D88" s="59"/>
      <c r="H88" s="22"/>
    </row>
    <row r="89" spans="4:8" x14ac:dyDescent="0.15">
      <c r="D89" s="59"/>
      <c r="H89" s="22"/>
    </row>
    <row r="90" spans="4:8" x14ac:dyDescent="0.15">
      <c r="D90" s="59"/>
      <c r="H90" s="22"/>
    </row>
    <row r="91" spans="4:8" x14ac:dyDescent="0.15">
      <c r="H91" s="22"/>
    </row>
    <row r="92" spans="4:8" x14ac:dyDescent="0.15">
      <c r="H92" s="22"/>
    </row>
    <row r="93" spans="4:8" x14ac:dyDescent="0.15">
      <c r="H93" s="22"/>
    </row>
    <row r="94" spans="4:8" x14ac:dyDescent="0.15">
      <c r="H94" s="22"/>
    </row>
    <row r="95" spans="4:8" x14ac:dyDescent="0.15">
      <c r="E95" s="1"/>
    </row>
    <row r="96" spans="4:8" x14ac:dyDescent="0.15">
      <c r="E96" s="1"/>
    </row>
    <row r="97" spans="1:8" x14ac:dyDescent="0.15">
      <c r="E97" s="1"/>
    </row>
    <row r="98" spans="1:8" x14ac:dyDescent="0.15">
      <c r="E98" s="1"/>
    </row>
    <row r="99" spans="1:8" x14ac:dyDescent="0.15">
      <c r="D99" s="2" t="s">
        <v>203</v>
      </c>
      <c r="E99" s="1"/>
    </row>
    <row r="100" spans="1:8" x14ac:dyDescent="0.15">
      <c r="D100" s="2" t="s">
        <v>203</v>
      </c>
      <c r="E100" s="1"/>
    </row>
    <row r="101" spans="1:8" ht="14.25" thickBot="1" x14ac:dyDescent="0.2">
      <c r="D101" s="2" t="s">
        <v>203</v>
      </c>
    </row>
    <row r="102" spans="1:8" ht="14.25" thickBot="1" x14ac:dyDescent="0.2">
      <c r="C102" s="4"/>
      <c r="D102" s="69">
        <f>SUM(D4:D100)</f>
        <v>0</v>
      </c>
      <c r="E102" t="s">
        <v>204</v>
      </c>
    </row>
    <row r="103" spans="1:8" x14ac:dyDescent="0.15">
      <c r="C103" s="4"/>
    </row>
    <row r="104" spans="1:8" x14ac:dyDescent="0.15">
      <c r="C104" s="4"/>
    </row>
    <row r="105" spans="1:8" x14ac:dyDescent="0.15">
      <c r="C105" s="4"/>
    </row>
    <row r="106" spans="1:8" x14ac:dyDescent="0.15">
      <c r="C106" s="4"/>
    </row>
    <row r="107" spans="1:8" x14ac:dyDescent="0.15">
      <c r="C107" s="4"/>
    </row>
    <row r="108" spans="1:8" x14ac:dyDescent="0.15">
      <c r="C108" s="4"/>
      <c r="D108" s="2" t="s">
        <v>203</v>
      </c>
    </row>
    <row r="109" spans="1:8" x14ac:dyDescent="0.15">
      <c r="D109" s="2" t="s">
        <v>203</v>
      </c>
    </row>
    <row r="110" spans="1:8" x14ac:dyDescent="0.15">
      <c r="C110" s="4"/>
      <c r="D110" s="2" t="s">
        <v>203</v>
      </c>
    </row>
    <row r="111" spans="1:8" ht="17.25" x14ac:dyDescent="0.15">
      <c r="A111" s="12" t="s">
        <v>25</v>
      </c>
      <c r="C111" s="4"/>
      <c r="D111" s="2" t="s">
        <v>203</v>
      </c>
    </row>
    <row r="112" spans="1:8" ht="13.5" customHeight="1" x14ac:dyDescent="0.15">
      <c r="A112" s="12"/>
      <c r="B112" s="67" t="s">
        <v>6</v>
      </c>
      <c r="C112" s="4" t="s">
        <v>5</v>
      </c>
      <c r="D112" s="2" t="s">
        <v>4</v>
      </c>
      <c r="E112" t="s">
        <v>3</v>
      </c>
      <c r="F112" t="s">
        <v>9</v>
      </c>
      <c r="G112" t="s">
        <v>10</v>
      </c>
      <c r="H112" t="s">
        <v>11</v>
      </c>
    </row>
    <row r="113" spans="1:8" ht="13.5" customHeight="1" x14ac:dyDescent="0.15">
      <c r="D113" s="59"/>
      <c r="H113" s="22"/>
    </row>
    <row r="114" spans="1:8" ht="13.5" customHeight="1" x14ac:dyDescent="0.15">
      <c r="D114" s="59"/>
      <c r="H114" s="22"/>
    </row>
    <row r="115" spans="1:8" ht="13.5" customHeight="1" x14ac:dyDescent="0.15">
      <c r="D115" s="59"/>
      <c r="H115" s="22"/>
    </row>
    <row r="116" spans="1:8" ht="13.5" customHeight="1" x14ac:dyDescent="0.15"/>
    <row r="117" spans="1:8" ht="13.5" customHeight="1" x14ac:dyDescent="0.15">
      <c r="E117" s="1"/>
    </row>
    <row r="118" spans="1:8" ht="13.5" customHeight="1" x14ac:dyDescent="0.15">
      <c r="D118" s="59"/>
      <c r="H118" s="22"/>
    </row>
    <row r="119" spans="1:8" ht="13.5" customHeight="1" x14ac:dyDescent="0.15"/>
    <row r="120" spans="1:8" x14ac:dyDescent="0.15">
      <c r="D120" s="59"/>
    </row>
    <row r="121" spans="1:8" x14ac:dyDescent="0.15">
      <c r="D121" s="59"/>
      <c r="E121" s="1"/>
    </row>
    <row r="122" spans="1:8" x14ac:dyDescent="0.15">
      <c r="A122" s="22"/>
      <c r="D122" s="59"/>
      <c r="E122" s="6"/>
    </row>
    <row r="123" spans="1:8" x14ac:dyDescent="0.15">
      <c r="A123" s="22"/>
      <c r="D123" s="59"/>
      <c r="E123" s="6"/>
    </row>
    <row r="124" spans="1:8" x14ac:dyDescent="0.15">
      <c r="D124" s="59"/>
      <c r="H124" s="22"/>
    </row>
    <row r="125" spans="1:8" x14ac:dyDescent="0.15">
      <c r="D125" s="59"/>
      <c r="H125" s="22"/>
    </row>
    <row r="130" spans="1:8" x14ac:dyDescent="0.15">
      <c r="H130" s="22"/>
    </row>
    <row r="131" spans="1:8" x14ac:dyDescent="0.15">
      <c r="H131" s="22"/>
    </row>
    <row r="134" spans="1:8" x14ac:dyDescent="0.15">
      <c r="A134" s="22"/>
      <c r="C134" s="6"/>
      <c r="E134" s="1"/>
      <c r="H134" s="22"/>
    </row>
    <row r="137" spans="1:8" x14ac:dyDescent="0.15">
      <c r="H137" s="22"/>
    </row>
    <row r="139" spans="1:8" x14ac:dyDescent="0.15">
      <c r="H139" s="22"/>
    </row>
    <row r="140" spans="1:8" x14ac:dyDescent="0.15">
      <c r="H140" s="22"/>
    </row>
    <row r="141" spans="1:8" x14ac:dyDescent="0.15">
      <c r="E141" s="1"/>
    </row>
    <row r="142" spans="1:8" x14ac:dyDescent="0.15">
      <c r="H142" s="22"/>
    </row>
    <row r="143" spans="1:8" x14ac:dyDescent="0.15">
      <c r="E143" s="1"/>
    </row>
    <row r="147" spans="1:8" x14ac:dyDescent="0.15">
      <c r="H147" s="22"/>
    </row>
    <row r="148" spans="1:8" x14ac:dyDescent="0.15">
      <c r="H148" s="22"/>
    </row>
    <row r="150" spans="1:8" x14ac:dyDescent="0.15">
      <c r="H150" s="22"/>
    </row>
    <row r="151" spans="1:8" x14ac:dyDescent="0.15">
      <c r="A151" s="22"/>
      <c r="C151" s="6"/>
      <c r="E151" s="1"/>
      <c r="H151" s="22"/>
    </row>
    <row r="152" spans="1:8" x14ac:dyDescent="0.15">
      <c r="H152" s="22"/>
    </row>
    <row r="154" spans="1:8" x14ac:dyDescent="0.15">
      <c r="H154" s="22"/>
    </row>
    <row r="156" spans="1:8" x14ac:dyDescent="0.15">
      <c r="H156" s="22"/>
    </row>
    <row r="157" spans="1:8" x14ac:dyDescent="0.15">
      <c r="H157" s="22"/>
    </row>
    <row r="158" spans="1:8" x14ac:dyDescent="0.15">
      <c r="E158" s="6"/>
      <c r="H158" s="22"/>
    </row>
    <row r="159" spans="1:8" x14ac:dyDescent="0.15">
      <c r="H159" s="22"/>
    </row>
    <row r="160" spans="1:8" x14ac:dyDescent="0.15">
      <c r="H160" s="22"/>
    </row>
    <row r="161" spans="5:8" x14ac:dyDescent="0.15">
      <c r="H161" s="22"/>
    </row>
    <row r="162" spans="5:8" x14ac:dyDescent="0.15">
      <c r="H162" s="22"/>
    </row>
    <row r="163" spans="5:8" x14ac:dyDescent="0.15">
      <c r="E163" s="1"/>
    </row>
    <row r="165" spans="5:8" x14ac:dyDescent="0.15">
      <c r="H165" s="22"/>
    </row>
    <row r="166" spans="5:8" x14ac:dyDescent="0.15">
      <c r="H166" s="22"/>
    </row>
    <row r="172" spans="5:8" x14ac:dyDescent="0.15">
      <c r="E172" s="6"/>
      <c r="H172" s="22"/>
    </row>
    <row r="173" spans="5:8" x14ac:dyDescent="0.15">
      <c r="H173" s="22"/>
    </row>
    <row r="175" spans="5:8" x14ac:dyDescent="0.15">
      <c r="H175" s="22"/>
    </row>
    <row r="176" spans="5:8" x14ac:dyDescent="0.15">
      <c r="H176" s="22"/>
    </row>
    <row r="177" spans="8:8" x14ac:dyDescent="0.15">
      <c r="H177" s="22"/>
    </row>
    <row r="179" spans="8:8" x14ac:dyDescent="0.15">
      <c r="H179" s="22"/>
    </row>
    <row r="180" spans="8:8" x14ac:dyDescent="0.15">
      <c r="H180" s="22"/>
    </row>
    <row r="181" spans="8:8" x14ac:dyDescent="0.15">
      <c r="H181" s="22"/>
    </row>
    <row r="182" spans="8:8" x14ac:dyDescent="0.15">
      <c r="H182" s="22"/>
    </row>
    <row r="183" spans="8:8" x14ac:dyDescent="0.15">
      <c r="H183" s="22"/>
    </row>
    <row r="184" spans="8:8" x14ac:dyDescent="0.15">
      <c r="H184" s="22"/>
    </row>
    <row r="185" spans="8:8" x14ac:dyDescent="0.15">
      <c r="H185" s="22"/>
    </row>
    <row r="186" spans="8:8" x14ac:dyDescent="0.15">
      <c r="H186" s="22"/>
    </row>
    <row r="187" spans="8:8" x14ac:dyDescent="0.15">
      <c r="H187" s="22"/>
    </row>
    <row r="188" spans="8:8" x14ac:dyDescent="0.15">
      <c r="H188" s="22"/>
    </row>
    <row r="189" spans="8:8" x14ac:dyDescent="0.15">
      <c r="H189" s="22"/>
    </row>
    <row r="190" spans="8:8" x14ac:dyDescent="0.15">
      <c r="H190" s="22"/>
    </row>
    <row r="191" spans="8:8" x14ac:dyDescent="0.15">
      <c r="H191" s="22"/>
    </row>
    <row r="192" spans="8:8" x14ac:dyDescent="0.15">
      <c r="H192" s="22"/>
    </row>
    <row r="193" spans="3:8" x14ac:dyDescent="0.15">
      <c r="H193" s="22"/>
    </row>
    <row r="194" spans="3:8" x14ac:dyDescent="0.15">
      <c r="H194" s="22"/>
    </row>
    <row r="195" spans="3:8" x14ac:dyDescent="0.15">
      <c r="H195" s="22"/>
    </row>
    <row r="196" spans="3:8" x14ac:dyDescent="0.15">
      <c r="H196" s="22"/>
    </row>
    <row r="197" spans="3:8" x14ac:dyDescent="0.15">
      <c r="H197" s="22"/>
    </row>
    <row r="198" spans="3:8" x14ac:dyDescent="0.15">
      <c r="H198" s="22"/>
    </row>
    <row r="199" spans="3:8" x14ac:dyDescent="0.15">
      <c r="H199" s="22"/>
    </row>
    <row r="201" spans="3:8" x14ac:dyDescent="0.15">
      <c r="E201" s="1"/>
    </row>
    <row r="202" spans="3:8" x14ac:dyDescent="0.15">
      <c r="C202" s="4"/>
      <c r="D202" s="2" t="s">
        <v>68</v>
      </c>
    </row>
    <row r="203" spans="3:8" x14ac:dyDescent="0.15">
      <c r="D203" s="2" t="s">
        <v>68</v>
      </c>
    </row>
    <row r="204" spans="3:8" ht="14.25" thickBot="1" x14ac:dyDescent="0.2">
      <c r="D204" s="2" t="s">
        <v>68</v>
      </c>
      <c r="E204" s="6"/>
      <c r="F204" s="7"/>
      <c r="G204" s="7"/>
      <c r="H204" s="7"/>
    </row>
    <row r="205" spans="3:8" ht="14.25" thickBot="1" x14ac:dyDescent="0.2">
      <c r="C205" s="4"/>
      <c r="D205" s="69">
        <f>SUM(D113:D204)</f>
        <v>0</v>
      </c>
      <c r="E205" t="s">
        <v>66</v>
      </c>
    </row>
    <row r="206" spans="3:8" x14ac:dyDescent="0.15">
      <c r="C206" s="4"/>
    </row>
    <row r="207" spans="3:8" x14ac:dyDescent="0.15">
      <c r="C207" s="4"/>
    </row>
    <row r="208" spans="3:8" x14ac:dyDescent="0.15">
      <c r="D208" s="2" t="s">
        <v>68</v>
      </c>
    </row>
    <row r="209" spans="1:8" x14ac:dyDescent="0.15">
      <c r="C209" s="4"/>
      <c r="D209" s="2" t="s">
        <v>68</v>
      </c>
    </row>
    <row r="210" spans="1:8" ht="17.25" x14ac:dyDescent="0.15">
      <c r="A210" s="12" t="s">
        <v>27</v>
      </c>
      <c r="C210" s="4"/>
      <c r="D210" s="2" t="s">
        <v>68</v>
      </c>
    </row>
    <row r="211" spans="1:8" ht="13.5" customHeight="1" x14ac:dyDescent="0.15">
      <c r="A211" s="12"/>
      <c r="B211" s="67" t="s">
        <v>6</v>
      </c>
      <c r="C211" s="4" t="s">
        <v>5</v>
      </c>
      <c r="D211" s="2" t="s">
        <v>4</v>
      </c>
      <c r="E211" t="s">
        <v>3</v>
      </c>
      <c r="F211" t="s">
        <v>9</v>
      </c>
      <c r="G211" t="s">
        <v>10</v>
      </c>
      <c r="H211" t="s">
        <v>11</v>
      </c>
    </row>
    <row r="212" spans="1:8" ht="13.5" customHeight="1" x14ac:dyDescent="0.15">
      <c r="A212" s="12"/>
      <c r="D212" s="2" t="s">
        <v>68</v>
      </c>
      <c r="E212" s="1"/>
      <c r="H212" s="22"/>
    </row>
    <row r="213" spans="1:8" x14ac:dyDescent="0.15">
      <c r="D213" s="2" t="s">
        <v>68</v>
      </c>
      <c r="E213" s="1"/>
    </row>
    <row r="214" spans="1:8" x14ac:dyDescent="0.15">
      <c r="D214" s="2" t="s">
        <v>68</v>
      </c>
      <c r="H214" s="22"/>
    </row>
    <row r="215" spans="1:8" x14ac:dyDescent="0.15">
      <c r="E215" s="1"/>
    </row>
    <row r="216" spans="1:8" x14ac:dyDescent="0.15">
      <c r="C216" s="4"/>
    </row>
    <row r="217" spans="1:8" x14ac:dyDescent="0.15">
      <c r="C217" s="4"/>
    </row>
    <row r="218" spans="1:8" x14ac:dyDescent="0.15">
      <c r="C218" s="4"/>
    </row>
    <row r="219" spans="1:8" x14ac:dyDescent="0.15">
      <c r="C219" s="4"/>
    </row>
    <row r="220" spans="1:8" x14ac:dyDescent="0.15">
      <c r="C220" s="4"/>
    </row>
    <row r="221" spans="1:8" x14ac:dyDescent="0.15">
      <c r="C221" s="4"/>
    </row>
    <row r="222" spans="1:8" x14ac:dyDescent="0.15">
      <c r="C222" s="4"/>
    </row>
    <row r="224" spans="1:8" x14ac:dyDescent="0.15">
      <c r="D224" s="2" t="s">
        <v>68</v>
      </c>
      <c r="E224" s="1"/>
    </row>
    <row r="225" spans="1:8" ht="14.25" thickBot="1" x14ac:dyDescent="0.2">
      <c r="D225" s="2" t="s">
        <v>68</v>
      </c>
    </row>
    <row r="226" spans="1:8" ht="14.25" thickBot="1" x14ac:dyDescent="0.2">
      <c r="C226" s="4"/>
      <c r="D226" s="69">
        <f>SUM(D212:D225)</f>
        <v>0</v>
      </c>
      <c r="E226" t="s">
        <v>30</v>
      </c>
    </row>
    <row r="227" spans="1:8" x14ac:dyDescent="0.15">
      <c r="C227" s="4"/>
    </row>
    <row r="229" spans="1:8" x14ac:dyDescent="0.15">
      <c r="C229" s="4"/>
      <c r="D229" s="2" t="s">
        <v>68</v>
      </c>
    </row>
    <row r="230" spans="1:8" ht="17.25" x14ac:dyDescent="0.15">
      <c r="A230" s="12" t="s">
        <v>26</v>
      </c>
      <c r="C230" s="4"/>
      <c r="D230" s="2" t="s">
        <v>68</v>
      </c>
    </row>
    <row r="231" spans="1:8" ht="13.5" customHeight="1" x14ac:dyDescent="0.15">
      <c r="B231" s="67" t="s">
        <v>6</v>
      </c>
      <c r="C231" s="4" t="s">
        <v>5</v>
      </c>
      <c r="D231" s="2" t="s">
        <v>4</v>
      </c>
      <c r="E231" t="s">
        <v>3</v>
      </c>
      <c r="F231" t="s">
        <v>9</v>
      </c>
      <c r="G231" t="s">
        <v>10</v>
      </c>
      <c r="H231" t="s">
        <v>11</v>
      </c>
    </row>
    <row r="232" spans="1:8" ht="14.25" customHeight="1" x14ac:dyDescent="0.15">
      <c r="D232" s="59"/>
      <c r="H232" s="22"/>
    </row>
    <row r="233" spans="1:8" ht="13.5" customHeight="1" x14ac:dyDescent="0.15">
      <c r="D233" s="59"/>
      <c r="H233" s="22"/>
    </row>
    <row r="235" spans="1:8" x14ac:dyDescent="0.15">
      <c r="A235" s="22"/>
      <c r="C235" s="6"/>
      <c r="D235" s="59"/>
      <c r="E235" s="1"/>
      <c r="H235" s="22"/>
    </row>
    <row r="236" spans="1:8" x14ac:dyDescent="0.15">
      <c r="D236" s="59"/>
      <c r="H236" s="22"/>
    </row>
    <row r="237" spans="1:8" x14ac:dyDescent="0.15">
      <c r="D237" s="59"/>
      <c r="H237" s="22"/>
    </row>
    <row r="240" spans="1:8" x14ac:dyDescent="0.15">
      <c r="E240" s="1"/>
    </row>
    <row r="241" spans="1:8" x14ac:dyDescent="0.15">
      <c r="A241" s="22"/>
      <c r="E241" s="6"/>
    </row>
    <row r="242" spans="1:8" x14ac:dyDescent="0.15">
      <c r="A242" s="22"/>
      <c r="E242" s="6"/>
    </row>
    <row r="243" spans="1:8" x14ac:dyDescent="0.15">
      <c r="H243" s="22"/>
    </row>
    <row r="244" spans="1:8" x14ac:dyDescent="0.15">
      <c r="H244" s="22"/>
    </row>
    <row r="249" spans="1:8" x14ac:dyDescent="0.15">
      <c r="H249" s="22"/>
    </row>
    <row r="250" spans="1:8" x14ac:dyDescent="0.15">
      <c r="H250" s="22"/>
    </row>
    <row r="253" spans="1:8" x14ac:dyDescent="0.15">
      <c r="A253" s="22"/>
      <c r="C253" s="6"/>
      <c r="E253" s="1"/>
      <c r="H253" s="22"/>
    </row>
    <row r="256" spans="1:8" x14ac:dyDescent="0.15">
      <c r="H256" s="22"/>
    </row>
    <row r="258" spans="1:8" x14ac:dyDescent="0.15">
      <c r="H258" s="22"/>
    </row>
    <row r="259" spans="1:8" x14ac:dyDescent="0.15">
      <c r="H259" s="22"/>
    </row>
    <row r="260" spans="1:8" x14ac:dyDescent="0.15">
      <c r="E260" s="1"/>
    </row>
    <row r="261" spans="1:8" x14ac:dyDescent="0.15">
      <c r="H261" s="22"/>
    </row>
    <row r="262" spans="1:8" x14ac:dyDescent="0.15">
      <c r="E262" s="1"/>
    </row>
    <row r="266" spans="1:8" x14ac:dyDescent="0.15">
      <c r="H266" s="22"/>
    </row>
    <row r="267" spans="1:8" x14ac:dyDescent="0.15">
      <c r="H267" s="22"/>
    </row>
    <row r="269" spans="1:8" x14ac:dyDescent="0.15">
      <c r="H269" s="22"/>
    </row>
    <row r="270" spans="1:8" x14ac:dyDescent="0.15">
      <c r="A270" s="22"/>
      <c r="C270" s="6"/>
      <c r="E270" s="1"/>
      <c r="H270" s="22"/>
    </row>
    <row r="271" spans="1:8" x14ac:dyDescent="0.15">
      <c r="H271" s="22"/>
    </row>
    <row r="273" spans="5:8" x14ac:dyDescent="0.15">
      <c r="H273" s="22"/>
    </row>
    <row r="275" spans="5:8" x14ac:dyDescent="0.15">
      <c r="H275" s="22"/>
    </row>
    <row r="276" spans="5:8" x14ac:dyDescent="0.15">
      <c r="H276" s="22"/>
    </row>
    <row r="277" spans="5:8" x14ac:dyDescent="0.15">
      <c r="E277" s="6"/>
      <c r="H277" s="22"/>
    </row>
    <row r="278" spans="5:8" x14ac:dyDescent="0.15">
      <c r="H278" s="22"/>
    </row>
    <row r="279" spans="5:8" x14ac:dyDescent="0.15">
      <c r="H279" s="22"/>
    </row>
    <row r="280" spans="5:8" x14ac:dyDescent="0.15">
      <c r="H280" s="22"/>
    </row>
    <row r="281" spans="5:8" x14ac:dyDescent="0.15">
      <c r="H281" s="22"/>
    </row>
    <row r="282" spans="5:8" x14ac:dyDescent="0.15">
      <c r="E282" s="1"/>
    </row>
    <row r="284" spans="5:8" x14ac:dyDescent="0.15">
      <c r="H284" s="22"/>
    </row>
    <row r="285" spans="5:8" x14ac:dyDescent="0.15">
      <c r="H285" s="22"/>
    </row>
    <row r="291" spans="5:8" x14ac:dyDescent="0.15">
      <c r="E291" s="6"/>
      <c r="H291" s="22"/>
    </row>
    <row r="292" spans="5:8" x14ac:dyDescent="0.15">
      <c r="H292" s="22"/>
    </row>
    <row r="294" spans="5:8" x14ac:dyDescent="0.15">
      <c r="H294" s="22"/>
    </row>
    <row r="295" spans="5:8" x14ac:dyDescent="0.15">
      <c r="H295" s="22"/>
    </row>
    <row r="296" spans="5:8" x14ac:dyDescent="0.15">
      <c r="H296" s="22"/>
    </row>
    <row r="298" spans="5:8" x14ac:dyDescent="0.15">
      <c r="H298" s="22"/>
    </row>
    <row r="299" spans="5:8" x14ac:dyDescent="0.15">
      <c r="H299" s="22"/>
    </row>
    <row r="300" spans="5:8" x14ac:dyDescent="0.15">
      <c r="H300" s="22"/>
    </row>
    <row r="301" spans="5:8" x14ac:dyDescent="0.15">
      <c r="H301" s="22"/>
    </row>
    <row r="302" spans="5:8" x14ac:dyDescent="0.15">
      <c r="H302" s="22"/>
    </row>
    <row r="303" spans="5:8" x14ac:dyDescent="0.15">
      <c r="H303" s="22"/>
    </row>
    <row r="304" spans="5:8" x14ac:dyDescent="0.15">
      <c r="H304" s="22"/>
    </row>
    <row r="305" spans="5:8" x14ac:dyDescent="0.15">
      <c r="H305" s="22"/>
    </row>
    <row r="306" spans="5:8" x14ac:dyDescent="0.15">
      <c r="H306" s="22"/>
    </row>
    <row r="307" spans="5:8" x14ac:dyDescent="0.15">
      <c r="H307" s="22"/>
    </row>
    <row r="308" spans="5:8" x14ac:dyDescent="0.15">
      <c r="H308" s="22"/>
    </row>
    <row r="309" spans="5:8" x14ac:dyDescent="0.15">
      <c r="H309" s="22"/>
    </row>
    <row r="310" spans="5:8" x14ac:dyDescent="0.15">
      <c r="H310" s="22"/>
    </row>
    <row r="311" spans="5:8" x14ac:dyDescent="0.15">
      <c r="H311" s="22"/>
    </row>
    <row r="312" spans="5:8" x14ac:dyDescent="0.15">
      <c r="H312" s="22"/>
    </row>
    <row r="313" spans="5:8" x14ac:dyDescent="0.15">
      <c r="H313" s="22"/>
    </row>
    <row r="314" spans="5:8" x14ac:dyDescent="0.15">
      <c r="H314" s="22"/>
    </row>
    <row r="315" spans="5:8" x14ac:dyDescent="0.15">
      <c r="H315" s="22"/>
    </row>
    <row r="316" spans="5:8" x14ac:dyDescent="0.15">
      <c r="H316" s="22"/>
    </row>
    <row r="317" spans="5:8" x14ac:dyDescent="0.15">
      <c r="H317" s="22"/>
    </row>
    <row r="318" spans="5:8" x14ac:dyDescent="0.15">
      <c r="H318" s="22"/>
    </row>
    <row r="319" spans="5:8" x14ac:dyDescent="0.15">
      <c r="E319" s="1"/>
    </row>
    <row r="320" spans="5:8" x14ac:dyDescent="0.15">
      <c r="E320" s="1"/>
    </row>
    <row r="321" spans="2:8" x14ac:dyDescent="0.15">
      <c r="C321" s="4"/>
      <c r="E321" s="1"/>
    </row>
    <row r="322" spans="2:8" x14ac:dyDescent="0.15">
      <c r="E322" s="1"/>
    </row>
    <row r="323" spans="2:8" x14ac:dyDescent="0.15">
      <c r="B323" s="68"/>
      <c r="E323" s="22"/>
      <c r="F323" s="22"/>
      <c r="G323" s="22"/>
    </row>
    <row r="328" spans="2:8" x14ac:dyDescent="0.15">
      <c r="E328" s="1"/>
    </row>
    <row r="329" spans="2:8" x14ac:dyDescent="0.15">
      <c r="C329" s="4"/>
    </row>
    <row r="330" spans="2:8" x14ac:dyDescent="0.15">
      <c r="H330" s="22"/>
    </row>
    <row r="331" spans="2:8" x14ac:dyDescent="0.15">
      <c r="C331" s="4"/>
    </row>
    <row r="332" spans="2:8" x14ac:dyDescent="0.15">
      <c r="C332" s="4"/>
    </row>
    <row r="333" spans="2:8" x14ac:dyDescent="0.15">
      <c r="C333" s="4"/>
    </row>
    <row r="334" spans="2:8" x14ac:dyDescent="0.15">
      <c r="C334" s="4"/>
    </row>
    <row r="335" spans="2:8" x14ac:dyDescent="0.15">
      <c r="C335" s="4"/>
      <c r="D335" s="2" t="s">
        <v>68</v>
      </c>
    </row>
    <row r="336" spans="2:8" x14ac:dyDescent="0.15">
      <c r="C336" s="4"/>
      <c r="D336" s="2" t="s">
        <v>68</v>
      </c>
    </row>
    <row r="337" spans="1:5" x14ac:dyDescent="0.15">
      <c r="C337" s="4"/>
      <c r="D337" s="2" t="s">
        <v>68</v>
      </c>
    </row>
    <row r="338" spans="1:5" x14ac:dyDescent="0.15">
      <c r="C338" s="4"/>
      <c r="D338" s="2" t="s">
        <v>68</v>
      </c>
    </row>
    <row r="339" spans="1:5" ht="14.25" thickBot="1" x14ac:dyDescent="0.2">
      <c r="C339" s="4"/>
      <c r="D339" s="2" t="s">
        <v>68</v>
      </c>
    </row>
    <row r="340" spans="1:5" ht="14.25" thickBot="1" x14ac:dyDescent="0.2">
      <c r="C340" s="4"/>
      <c r="D340" s="69">
        <f>SUM(D231:D339)</f>
        <v>0</v>
      </c>
      <c r="E340" t="s">
        <v>28</v>
      </c>
    </row>
    <row r="341" spans="1:5" x14ac:dyDescent="0.15">
      <c r="C341" s="4"/>
    </row>
    <row r="342" spans="1:5" x14ac:dyDescent="0.15">
      <c r="C342" s="4"/>
      <c r="D342" s="2" t="s">
        <v>68</v>
      </c>
    </row>
    <row r="343" spans="1:5" x14ac:dyDescent="0.15">
      <c r="C343" s="4"/>
      <c r="D343" s="2" t="s">
        <v>68</v>
      </c>
    </row>
    <row r="344" spans="1:5" ht="33" customHeight="1" x14ac:dyDescent="0.15">
      <c r="A344" s="12" t="s">
        <v>32</v>
      </c>
      <c r="C344" s="5"/>
      <c r="D344" s="70" t="s">
        <v>68</v>
      </c>
    </row>
    <row r="345" spans="1:5" ht="13.5" customHeight="1" x14ac:dyDescent="0.15">
      <c r="D345" s="2" t="s">
        <v>68</v>
      </c>
    </row>
    <row r="346" spans="1:5" ht="14.25" thickBot="1" x14ac:dyDescent="0.2">
      <c r="C346" s="14" t="s">
        <v>15</v>
      </c>
      <c r="D346" s="71">
        <f>D340</f>
        <v>0</v>
      </c>
      <c r="E346" s="14" t="s">
        <v>61</v>
      </c>
    </row>
    <row r="347" spans="1:5" ht="14.25" thickTop="1" x14ac:dyDescent="0.15">
      <c r="C347" s="13" t="s">
        <v>45</v>
      </c>
      <c r="D347" s="72">
        <f>D102</f>
        <v>0</v>
      </c>
      <c r="E347" t="s">
        <v>62</v>
      </c>
    </row>
    <row r="348" spans="1:5" x14ac:dyDescent="0.15">
      <c r="C348" s="5" t="s">
        <v>47</v>
      </c>
      <c r="D348" s="72">
        <f>D205</f>
        <v>0</v>
      </c>
      <c r="E348" t="s">
        <v>66</v>
      </c>
    </row>
    <row r="349" spans="1:5" ht="14.25" thickBot="1" x14ac:dyDescent="0.2">
      <c r="C349" s="14" t="s">
        <v>48</v>
      </c>
      <c r="D349" s="73">
        <f>D226</f>
        <v>0</v>
      </c>
      <c r="E349" s="14" t="s">
        <v>63</v>
      </c>
    </row>
    <row r="350" spans="1:5" ht="14.25" thickTop="1" x14ac:dyDescent="0.15">
      <c r="C350" t="s">
        <v>33</v>
      </c>
      <c r="D350" s="74">
        <f>SUM(D347:D349)</f>
        <v>0</v>
      </c>
      <c r="E350" t="s">
        <v>64</v>
      </c>
    </row>
    <row r="351" spans="1:5" x14ac:dyDescent="0.15">
      <c r="D351" s="2" t="s">
        <v>68</v>
      </c>
    </row>
    <row r="352" spans="1:5" x14ac:dyDescent="0.15">
      <c r="C352" t="s">
        <v>32</v>
      </c>
      <c r="D352" s="75">
        <f>D346+D350</f>
        <v>0</v>
      </c>
      <c r="E352" t="s">
        <v>65</v>
      </c>
    </row>
    <row r="356" spans="1:7" x14ac:dyDescent="0.15">
      <c r="D356" s="2" t="s">
        <v>68</v>
      </c>
    </row>
    <row r="357" spans="1:7" ht="17.25" x14ac:dyDescent="0.15">
      <c r="A357" s="12" t="s">
        <v>49</v>
      </c>
      <c r="C357" s="4"/>
      <c r="D357" s="2" t="s">
        <v>68</v>
      </c>
    </row>
    <row r="358" spans="1:7" ht="17.25" x14ac:dyDescent="0.15">
      <c r="A358" s="12"/>
      <c r="C358" s="4" t="s">
        <v>49</v>
      </c>
      <c r="D358" s="2" t="s">
        <v>68</v>
      </c>
      <c r="E358" s="3"/>
    </row>
    <row r="359" spans="1:7" x14ac:dyDescent="0.15">
      <c r="C359" s="4" t="s">
        <v>52</v>
      </c>
      <c r="D359" s="2" t="s">
        <v>68</v>
      </c>
      <c r="E359" s="3"/>
    </row>
    <row r="360" spans="1:7" x14ac:dyDescent="0.15">
      <c r="C360" s="4"/>
    </row>
    <row r="361" spans="1:7" x14ac:dyDescent="0.15">
      <c r="C361" s="4"/>
    </row>
    <row r="362" spans="1:7" x14ac:dyDescent="0.15">
      <c r="C362" s="4"/>
    </row>
    <row r="363" spans="1:7" x14ac:dyDescent="0.15">
      <c r="C363" s="4"/>
    </row>
    <row r="364" spans="1:7" x14ac:dyDescent="0.15">
      <c r="C364" s="4"/>
    </row>
    <row r="365" spans="1:7" x14ac:dyDescent="0.15">
      <c r="C365" s="4"/>
    </row>
    <row r="366" spans="1:7" x14ac:dyDescent="0.15">
      <c r="A366" s="22"/>
      <c r="B366" s="68"/>
      <c r="C366" s="22"/>
      <c r="D366" s="59"/>
      <c r="E366" s="53"/>
      <c r="F366" s="22"/>
      <c r="G366" s="22"/>
    </row>
    <row r="367" spans="1:7" x14ac:dyDescent="0.15">
      <c r="A367" s="22"/>
      <c r="B367" s="68"/>
      <c r="C367" s="22"/>
      <c r="D367" s="59"/>
      <c r="E367" s="53"/>
      <c r="F367" s="22"/>
      <c r="G367" s="22"/>
    </row>
    <row r="368" spans="1:7" x14ac:dyDescent="0.15">
      <c r="A368" s="22"/>
      <c r="B368" s="68"/>
      <c r="C368" s="22"/>
      <c r="D368" s="59"/>
      <c r="E368" s="53"/>
      <c r="F368" s="22"/>
      <c r="G368" s="22"/>
    </row>
    <row r="369" spans="1:7" x14ac:dyDescent="0.15">
      <c r="A369" s="22"/>
      <c r="B369" s="68"/>
      <c r="C369" s="22"/>
      <c r="D369" s="59"/>
      <c r="E369" s="53"/>
      <c r="F369" s="22"/>
      <c r="G369" s="22"/>
    </row>
    <row r="370" spans="1:7" x14ac:dyDescent="0.15">
      <c r="A370" s="22"/>
      <c r="B370" s="68"/>
      <c r="C370" s="22"/>
      <c r="D370" s="59"/>
      <c r="E370" s="53"/>
      <c r="F370" s="22"/>
      <c r="G370" s="22"/>
    </row>
    <row r="371" spans="1:7" x14ac:dyDescent="0.15">
      <c r="A371" s="22"/>
      <c r="B371" s="68"/>
      <c r="C371" s="22"/>
      <c r="D371" s="59"/>
      <c r="E371" s="53"/>
      <c r="F371" s="22"/>
      <c r="G371" s="22"/>
    </row>
    <row r="372" spans="1:7" x14ac:dyDescent="0.15">
      <c r="A372" s="22"/>
      <c r="B372" s="68"/>
      <c r="C372" s="22"/>
      <c r="D372" s="59"/>
      <c r="E372" s="53"/>
      <c r="F372" s="22"/>
      <c r="G372" s="22"/>
    </row>
    <row r="373" spans="1:7" x14ac:dyDescent="0.15">
      <c r="A373" s="22"/>
      <c r="B373" s="68"/>
      <c r="C373" s="22"/>
      <c r="D373" s="59"/>
      <c r="E373" s="53"/>
      <c r="F373" s="22"/>
      <c r="G373" s="22"/>
    </row>
    <row r="374" spans="1:7" x14ac:dyDescent="0.15">
      <c r="A374" s="22"/>
      <c r="B374" s="68"/>
      <c r="C374" s="22"/>
      <c r="D374" s="59"/>
      <c r="E374" s="53"/>
      <c r="F374" s="22"/>
      <c r="G374" s="22"/>
    </row>
    <row r="375" spans="1:7" x14ac:dyDescent="0.15">
      <c r="A375" s="22"/>
      <c r="B375" s="68"/>
      <c r="C375" s="22"/>
      <c r="D375" s="59"/>
      <c r="E375" s="53"/>
      <c r="F375" s="22"/>
      <c r="G375" s="22"/>
    </row>
    <row r="376" spans="1:7" x14ac:dyDescent="0.15">
      <c r="A376" s="22"/>
      <c r="B376" s="68"/>
      <c r="C376" s="22"/>
      <c r="D376" s="59"/>
      <c r="E376" s="53"/>
      <c r="F376" s="22"/>
      <c r="G376" s="22"/>
    </row>
    <row r="377" spans="1:7" x14ac:dyDescent="0.15">
      <c r="A377" s="22"/>
      <c r="B377" s="68"/>
      <c r="C377" s="22"/>
      <c r="D377" s="59"/>
      <c r="E377" s="53"/>
      <c r="F377" s="22"/>
      <c r="G377" s="22"/>
    </row>
    <row r="378" spans="1:7" x14ac:dyDescent="0.15">
      <c r="A378" s="22"/>
      <c r="B378" s="68"/>
      <c r="C378" s="22"/>
      <c r="D378" s="59"/>
      <c r="E378" s="53"/>
      <c r="F378" s="22"/>
      <c r="G378" s="22"/>
    </row>
    <row r="379" spans="1:7" x14ac:dyDescent="0.15">
      <c r="A379" s="22"/>
      <c r="B379" s="68"/>
      <c r="C379" s="22"/>
      <c r="D379" s="59"/>
      <c r="E379" s="53"/>
      <c r="F379" s="22"/>
      <c r="G379" s="22"/>
    </row>
    <row r="380" spans="1:7" x14ac:dyDescent="0.15">
      <c r="A380" s="22"/>
      <c r="B380" s="68"/>
      <c r="C380" s="22"/>
      <c r="D380" s="59"/>
      <c r="E380" s="53"/>
      <c r="F380" s="22"/>
      <c r="G380" s="22"/>
    </row>
    <row r="381" spans="1:7" x14ac:dyDescent="0.15">
      <c r="A381" s="22"/>
      <c r="B381" s="68"/>
      <c r="C381" s="22"/>
      <c r="D381" s="59"/>
      <c r="E381" s="53"/>
      <c r="F381" s="22"/>
      <c r="G381" s="22"/>
    </row>
    <row r="382" spans="1:7" x14ac:dyDescent="0.15">
      <c r="A382" s="22"/>
      <c r="B382" s="68"/>
      <c r="C382" s="22"/>
      <c r="D382" s="59"/>
      <c r="E382" s="53"/>
      <c r="F382" s="22"/>
      <c r="G382" s="22"/>
    </row>
    <row r="383" spans="1:7" x14ac:dyDescent="0.15">
      <c r="A383" s="22"/>
      <c r="B383" s="68"/>
      <c r="C383" s="22"/>
      <c r="D383" s="59"/>
      <c r="E383" s="53"/>
      <c r="F383" s="22"/>
      <c r="G383" s="22"/>
    </row>
    <row r="384" spans="1:7" x14ac:dyDescent="0.15">
      <c r="A384" s="22"/>
      <c r="B384" s="68"/>
      <c r="C384" s="22"/>
      <c r="D384" s="59"/>
      <c r="E384" s="53"/>
      <c r="F384" s="22"/>
      <c r="G384" s="22"/>
    </row>
    <row r="385" spans="1:8" x14ac:dyDescent="0.15">
      <c r="A385" s="22"/>
      <c r="B385" s="68"/>
      <c r="C385" s="22"/>
      <c r="D385" s="59"/>
      <c r="E385" s="53"/>
      <c r="F385" s="22"/>
      <c r="G385" s="22"/>
    </row>
    <row r="386" spans="1:8" x14ac:dyDescent="0.15">
      <c r="A386" s="22"/>
      <c r="B386" s="68"/>
      <c r="C386" s="22"/>
      <c r="D386" s="59"/>
      <c r="E386" s="53"/>
      <c r="F386" s="22"/>
      <c r="G386" s="22"/>
      <c r="H386" s="22"/>
    </row>
    <row r="387" spans="1:8" x14ac:dyDescent="0.15">
      <c r="A387" s="22"/>
      <c r="B387" s="68"/>
      <c r="C387" s="22"/>
      <c r="D387" s="59"/>
      <c r="E387" s="22"/>
      <c r="F387" s="22"/>
      <c r="G387" s="22"/>
      <c r="H387" s="22"/>
    </row>
    <row r="388" spans="1:8" x14ac:dyDescent="0.15">
      <c r="A388" s="22"/>
      <c r="B388" s="68"/>
      <c r="C388" s="23"/>
      <c r="D388" s="59"/>
      <c r="E388" s="53"/>
      <c r="F388" s="22"/>
      <c r="G388" s="22"/>
      <c r="H388" s="22"/>
    </row>
    <row r="389" spans="1:8" x14ac:dyDescent="0.15">
      <c r="A389" s="22"/>
      <c r="B389" s="68"/>
      <c r="C389" s="22"/>
      <c r="D389" s="59"/>
      <c r="E389" s="22"/>
      <c r="F389" s="22"/>
      <c r="G389" s="22"/>
    </row>
    <row r="390" spans="1:8" x14ac:dyDescent="0.15">
      <c r="A390" s="22"/>
      <c r="B390" s="68"/>
      <c r="C390" s="23"/>
      <c r="D390" s="59"/>
      <c r="E390" s="53"/>
      <c r="F390" s="22"/>
      <c r="G390" s="22"/>
      <c r="H390" s="22"/>
    </row>
    <row r="391" spans="1:8" x14ac:dyDescent="0.15">
      <c r="A391" s="22"/>
      <c r="B391" s="68"/>
      <c r="C391" s="22"/>
      <c r="D391" s="59"/>
      <c r="E391" s="53"/>
      <c r="F391" s="22"/>
      <c r="G391" s="22"/>
    </row>
    <row r="392" spans="1:8" x14ac:dyDescent="0.15">
      <c r="A392" s="22"/>
      <c r="B392" s="68"/>
      <c r="C392" s="22"/>
      <c r="D392" s="59"/>
      <c r="E392" s="22"/>
      <c r="F392" s="22"/>
      <c r="G392" s="22"/>
    </row>
    <row r="393" spans="1:8" x14ac:dyDescent="0.15">
      <c r="A393" s="22"/>
      <c r="B393" s="68"/>
      <c r="C393" s="22"/>
      <c r="D393" s="59"/>
      <c r="E393" s="22"/>
      <c r="F393" s="22"/>
      <c r="G393" s="22"/>
    </row>
    <row r="394" spans="1:8" x14ac:dyDescent="0.15">
      <c r="A394" s="22"/>
      <c r="B394" s="68"/>
      <c r="C394" s="22"/>
      <c r="D394" s="59"/>
      <c r="E394" s="22"/>
      <c r="F394" s="22"/>
      <c r="G394" s="22"/>
      <c r="H394" s="22"/>
    </row>
    <row r="395" spans="1:8" x14ac:dyDescent="0.15">
      <c r="A395" s="22"/>
      <c r="B395" s="68"/>
      <c r="C395" s="22"/>
      <c r="D395" s="59"/>
      <c r="E395" s="23"/>
      <c r="F395" s="22"/>
      <c r="G395" s="22"/>
      <c r="H395" s="22"/>
    </row>
    <row r="396" spans="1:8" x14ac:dyDescent="0.15">
      <c r="A396" s="22"/>
      <c r="B396" s="68"/>
      <c r="C396" s="22"/>
      <c r="D396" s="59"/>
      <c r="E396" s="22"/>
      <c r="F396" s="22"/>
      <c r="G396" s="22"/>
    </row>
    <row r="397" spans="1:8" x14ac:dyDescent="0.15">
      <c r="A397" s="22"/>
      <c r="B397" s="68"/>
      <c r="C397" s="22"/>
      <c r="D397" s="59"/>
      <c r="E397" s="22"/>
      <c r="F397" s="22"/>
      <c r="G397" s="22"/>
    </row>
    <row r="398" spans="1:8" x14ac:dyDescent="0.15">
      <c r="A398" s="22"/>
      <c r="B398" s="68"/>
      <c r="C398" s="22"/>
      <c r="D398" s="59"/>
      <c r="E398" s="22"/>
      <c r="F398" s="22"/>
      <c r="G398" s="22"/>
      <c r="H398" s="22"/>
    </row>
    <row r="399" spans="1:8" x14ac:dyDescent="0.15">
      <c r="A399" s="22"/>
      <c r="B399" s="68"/>
      <c r="C399" s="22"/>
      <c r="D399" s="59"/>
      <c r="E399" s="22"/>
      <c r="F399" s="22"/>
      <c r="G399" s="22"/>
      <c r="H399" s="22"/>
    </row>
    <row r="400" spans="1:8" x14ac:dyDescent="0.15">
      <c r="A400" s="22"/>
      <c r="B400" s="68"/>
      <c r="C400" s="22"/>
      <c r="D400" s="59"/>
      <c r="E400" s="22"/>
      <c r="F400" s="22"/>
      <c r="G400" s="22"/>
      <c r="H400" s="22"/>
    </row>
    <row r="401" spans="1:8" x14ac:dyDescent="0.15">
      <c r="A401" s="22"/>
      <c r="B401" s="68"/>
      <c r="C401" s="22"/>
      <c r="D401" s="59"/>
      <c r="E401" s="22"/>
      <c r="F401" s="22"/>
      <c r="G401" s="22"/>
      <c r="H401" s="22"/>
    </row>
    <row r="402" spans="1:8" x14ac:dyDescent="0.15">
      <c r="A402" s="22"/>
      <c r="B402" s="68"/>
      <c r="C402" s="22"/>
      <c r="D402" s="59"/>
      <c r="E402" s="22"/>
      <c r="F402" s="22"/>
      <c r="G402" s="22"/>
      <c r="H402" s="22"/>
    </row>
    <row r="403" spans="1:8" x14ac:dyDescent="0.15">
      <c r="A403" s="22"/>
      <c r="B403" s="68"/>
      <c r="C403" s="22"/>
      <c r="D403" s="59"/>
      <c r="E403" s="22"/>
      <c r="F403" s="22"/>
      <c r="G403" s="22"/>
      <c r="H403" s="22"/>
    </row>
    <row r="404" spans="1:8" x14ac:dyDescent="0.15">
      <c r="A404" s="22"/>
      <c r="B404" s="68"/>
      <c r="C404" s="22"/>
      <c r="D404" s="59"/>
      <c r="E404" s="22"/>
      <c r="F404" s="22"/>
      <c r="G404" s="22"/>
      <c r="H404" s="22"/>
    </row>
    <row r="405" spans="1:8" x14ac:dyDescent="0.15">
      <c r="A405" s="22"/>
      <c r="B405" s="68"/>
      <c r="C405" s="22"/>
      <c r="D405" s="59"/>
      <c r="E405" s="23"/>
      <c r="F405" s="22"/>
      <c r="G405" s="22"/>
    </row>
    <row r="406" spans="1:8" x14ac:dyDescent="0.15">
      <c r="A406" s="22"/>
      <c r="B406" s="68"/>
      <c r="C406" s="22"/>
      <c r="D406" s="59"/>
      <c r="E406" s="22"/>
      <c r="F406" s="22"/>
      <c r="G406" s="22"/>
      <c r="H406" s="22"/>
    </row>
    <row r="407" spans="1:8" x14ac:dyDescent="0.15">
      <c r="A407" s="22"/>
      <c r="B407" s="68"/>
      <c r="C407" s="22"/>
      <c r="D407" s="59"/>
      <c r="E407" s="22"/>
      <c r="F407" s="22"/>
      <c r="G407" s="22"/>
      <c r="H407" s="22"/>
    </row>
    <row r="408" spans="1:8" x14ac:dyDescent="0.15">
      <c r="A408" s="22"/>
      <c r="B408" s="68"/>
      <c r="C408" s="22"/>
      <c r="D408" s="59"/>
      <c r="E408" s="22"/>
      <c r="F408" s="22"/>
      <c r="G408" s="22"/>
      <c r="H408" s="22"/>
    </row>
    <row r="409" spans="1:8" x14ac:dyDescent="0.15">
      <c r="A409" s="22"/>
      <c r="B409" s="68"/>
      <c r="C409" s="22"/>
      <c r="D409" s="59"/>
      <c r="E409" s="22"/>
      <c r="F409" s="22"/>
      <c r="G409" s="22"/>
      <c r="H409" s="22"/>
    </row>
    <row r="410" spans="1:8" x14ac:dyDescent="0.15">
      <c r="A410" s="22"/>
      <c r="B410" s="68"/>
      <c r="C410" s="22"/>
      <c r="D410" s="59"/>
      <c r="E410" s="22"/>
      <c r="F410" s="22"/>
      <c r="G410" s="22"/>
    </row>
    <row r="412" spans="1:8" x14ac:dyDescent="0.15">
      <c r="H412" s="22"/>
    </row>
    <row r="413" spans="1:8" x14ac:dyDescent="0.15">
      <c r="H413" s="22"/>
    </row>
  </sheetData>
  <autoFilter ref="A3:I90"/>
  <phoneticPr fontId="3"/>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sheetPr>
  <dimension ref="A1:N241"/>
  <sheetViews>
    <sheetView workbookViewId="0">
      <selection activeCell="G199" sqref="G197:L199"/>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 min="11" max="11" width="16.25" customWidth="1"/>
    <col min="12" max="12" width="47.25" bestFit="1" customWidth="1"/>
  </cols>
  <sheetData>
    <row r="1" spans="1:9" ht="33" customHeight="1" x14ac:dyDescent="0.15">
      <c r="A1" s="12" t="s">
        <v>207</v>
      </c>
    </row>
    <row r="3" spans="1:9" x14ac:dyDescent="0.15">
      <c r="A3" t="s">
        <v>208</v>
      </c>
      <c r="B3" t="s">
        <v>209</v>
      </c>
      <c r="C3" s="4" t="s">
        <v>210</v>
      </c>
      <c r="D3" s="6" t="s">
        <v>211</v>
      </c>
      <c r="E3" t="s">
        <v>212</v>
      </c>
      <c r="F3" t="s">
        <v>213</v>
      </c>
      <c r="G3" t="s">
        <v>214</v>
      </c>
      <c r="H3" t="s">
        <v>215</v>
      </c>
      <c r="I3" t="s">
        <v>216</v>
      </c>
    </row>
    <row r="4" spans="1:9" x14ac:dyDescent="0.15">
      <c r="B4" s="66"/>
      <c r="D4" s="23"/>
      <c r="H4" s="22"/>
      <c r="I4" t="b">
        <f t="shared" ref="I4:I35" si="0">IF(OR(F4="住宅",F4="水道・光熱費",G4="インターネット",,C4="アマゾンプライム"),"固定費",IF(F4="収入","収入"))</f>
        <v>0</v>
      </c>
    </row>
    <row r="5" spans="1:9" x14ac:dyDescent="0.15">
      <c r="B5" s="66"/>
      <c r="D5" s="23"/>
      <c r="H5" s="22"/>
      <c r="I5" t="b">
        <f t="shared" si="0"/>
        <v>0</v>
      </c>
    </row>
    <row r="6" spans="1:9" x14ac:dyDescent="0.15">
      <c r="B6" s="66"/>
      <c r="D6" s="23"/>
      <c r="H6" s="22"/>
      <c r="I6" t="b">
        <f t="shared" si="0"/>
        <v>0</v>
      </c>
    </row>
    <row r="7" spans="1:9" x14ac:dyDescent="0.15">
      <c r="B7" s="66"/>
      <c r="D7" s="1"/>
      <c r="I7" t="b">
        <f t="shared" si="0"/>
        <v>0</v>
      </c>
    </row>
    <row r="8" spans="1:9" x14ac:dyDescent="0.15">
      <c r="B8" s="66"/>
      <c r="D8" s="6"/>
      <c r="E8" s="1"/>
      <c r="I8" t="b">
        <f t="shared" si="0"/>
        <v>0</v>
      </c>
    </row>
    <row r="9" spans="1:9" x14ac:dyDescent="0.15">
      <c r="B9" s="66"/>
      <c r="D9" s="23"/>
      <c r="H9" s="22"/>
      <c r="I9" t="b">
        <f t="shared" si="0"/>
        <v>0</v>
      </c>
    </row>
    <row r="10" spans="1:9" x14ac:dyDescent="0.15">
      <c r="B10" s="66"/>
      <c r="D10" s="23"/>
      <c r="H10" s="22"/>
      <c r="I10" t="b">
        <f t="shared" si="0"/>
        <v>0</v>
      </c>
    </row>
    <row r="11" spans="1:9" x14ac:dyDescent="0.15">
      <c r="B11" s="66"/>
      <c r="D11" s="23"/>
      <c r="H11" s="22"/>
      <c r="I11" t="b">
        <f t="shared" si="0"/>
        <v>0</v>
      </c>
    </row>
    <row r="12" spans="1:9" x14ac:dyDescent="0.15">
      <c r="B12" s="66"/>
      <c r="D12" s="23"/>
      <c r="H12" s="22"/>
      <c r="I12" t="b">
        <f t="shared" si="0"/>
        <v>0</v>
      </c>
    </row>
    <row r="13" spans="1:9" x14ac:dyDescent="0.15">
      <c r="B13" s="66"/>
      <c r="D13" s="1"/>
      <c r="I13" t="b">
        <f t="shared" si="0"/>
        <v>0</v>
      </c>
    </row>
    <row r="14" spans="1:9" x14ac:dyDescent="0.15">
      <c r="B14" s="66"/>
      <c r="I14" t="b">
        <f t="shared" si="0"/>
        <v>0</v>
      </c>
    </row>
    <row r="15" spans="1:9" x14ac:dyDescent="0.15">
      <c r="B15" s="66"/>
      <c r="D15" s="1"/>
      <c r="I15" t="b">
        <f t="shared" si="0"/>
        <v>0</v>
      </c>
    </row>
    <row r="16" spans="1:9" x14ac:dyDescent="0.15">
      <c r="B16" s="66"/>
      <c r="D16" s="23"/>
      <c r="H16" s="22"/>
      <c r="I16" t="b">
        <f t="shared" si="0"/>
        <v>0</v>
      </c>
    </row>
    <row r="17" spans="1:14" x14ac:dyDescent="0.15">
      <c r="B17" s="66"/>
      <c r="D17" s="23"/>
      <c r="H17" s="22"/>
      <c r="I17" t="b">
        <f t="shared" si="0"/>
        <v>0</v>
      </c>
    </row>
    <row r="18" spans="1:14" x14ac:dyDescent="0.15">
      <c r="B18" s="66"/>
      <c r="D18" s="23"/>
      <c r="H18" s="22"/>
      <c r="I18" t="b">
        <f t="shared" si="0"/>
        <v>0</v>
      </c>
    </row>
    <row r="19" spans="1:14" x14ac:dyDescent="0.15">
      <c r="B19" s="66"/>
      <c r="D19" s="23"/>
      <c r="H19" s="22"/>
      <c r="I19" t="b">
        <f t="shared" si="0"/>
        <v>0</v>
      </c>
    </row>
    <row r="20" spans="1:14" x14ac:dyDescent="0.15">
      <c r="B20" s="66"/>
      <c r="D20" s="23"/>
      <c r="I20" t="b">
        <f t="shared" si="0"/>
        <v>0</v>
      </c>
    </row>
    <row r="21" spans="1:14" x14ac:dyDescent="0.15">
      <c r="A21" s="22"/>
      <c r="B21" s="66"/>
      <c r="C21" s="6"/>
      <c r="D21" s="23"/>
      <c r="E21" s="1"/>
      <c r="H21" s="22"/>
      <c r="I21" t="b">
        <f t="shared" si="0"/>
        <v>0</v>
      </c>
    </row>
    <row r="22" spans="1:14" x14ac:dyDescent="0.15">
      <c r="B22" s="66"/>
      <c r="I22" t="b">
        <f t="shared" si="0"/>
        <v>0</v>
      </c>
      <c r="N22" s="1"/>
    </row>
    <row r="23" spans="1:14" x14ac:dyDescent="0.15">
      <c r="B23" s="66"/>
      <c r="D23" s="23"/>
      <c r="H23" s="22"/>
      <c r="I23" t="b">
        <f t="shared" si="0"/>
        <v>0</v>
      </c>
    </row>
    <row r="24" spans="1:14" x14ac:dyDescent="0.15">
      <c r="B24" s="66"/>
      <c r="D24" s="23"/>
      <c r="H24" s="22"/>
      <c r="I24" t="b">
        <f t="shared" si="0"/>
        <v>0</v>
      </c>
    </row>
    <row r="25" spans="1:14" x14ac:dyDescent="0.15">
      <c r="B25" s="66"/>
      <c r="D25" s="23"/>
      <c r="H25" s="22"/>
      <c r="I25" t="b">
        <f t="shared" si="0"/>
        <v>0</v>
      </c>
      <c r="N25" s="1"/>
    </row>
    <row r="26" spans="1:14" x14ac:dyDescent="0.15">
      <c r="B26" s="66"/>
      <c r="D26" s="1"/>
      <c r="I26" t="b">
        <f t="shared" si="0"/>
        <v>0</v>
      </c>
    </row>
    <row r="27" spans="1:14" x14ac:dyDescent="0.15">
      <c r="B27" s="66"/>
      <c r="D27" s="1"/>
      <c r="I27" t="b">
        <f t="shared" si="0"/>
        <v>0</v>
      </c>
    </row>
    <row r="28" spans="1:14" x14ac:dyDescent="0.15">
      <c r="B28" s="66"/>
      <c r="D28" s="23"/>
      <c r="E28" s="1"/>
      <c r="I28" t="b">
        <f t="shared" si="0"/>
        <v>0</v>
      </c>
      <c r="N28" s="1"/>
    </row>
    <row r="29" spans="1:14" x14ac:dyDescent="0.15">
      <c r="B29" s="66"/>
      <c r="D29" s="1"/>
      <c r="I29" t="b">
        <f t="shared" si="0"/>
        <v>0</v>
      </c>
    </row>
    <row r="30" spans="1:14" x14ac:dyDescent="0.15">
      <c r="B30" s="66"/>
      <c r="D30" s="23"/>
      <c r="E30" s="1"/>
      <c r="I30" t="b">
        <f t="shared" si="0"/>
        <v>0</v>
      </c>
    </row>
    <row r="31" spans="1:14" x14ac:dyDescent="0.15">
      <c r="B31" s="66"/>
      <c r="I31" t="b">
        <f t="shared" si="0"/>
        <v>0</v>
      </c>
    </row>
    <row r="32" spans="1:14" x14ac:dyDescent="0.15">
      <c r="B32" s="66"/>
      <c r="D32" s="23"/>
      <c r="H32" s="22"/>
      <c r="I32" t="b">
        <f t="shared" si="0"/>
        <v>0</v>
      </c>
    </row>
    <row r="33" spans="1:9" x14ac:dyDescent="0.15">
      <c r="B33" s="66"/>
      <c r="D33" s="23"/>
      <c r="H33" s="22"/>
      <c r="I33" t="b">
        <f t="shared" si="0"/>
        <v>0</v>
      </c>
    </row>
    <row r="34" spans="1:9" x14ac:dyDescent="0.15">
      <c r="B34" s="66"/>
      <c r="D34" s="23"/>
      <c r="E34" s="6"/>
      <c r="H34" s="22"/>
      <c r="I34" t="b">
        <f t="shared" si="0"/>
        <v>0</v>
      </c>
    </row>
    <row r="35" spans="1:9" x14ac:dyDescent="0.15">
      <c r="B35" s="66"/>
      <c r="D35" s="23"/>
      <c r="H35" s="22"/>
      <c r="I35" t="b">
        <f t="shared" si="0"/>
        <v>0</v>
      </c>
    </row>
    <row r="36" spans="1:9" x14ac:dyDescent="0.15">
      <c r="B36" s="66"/>
      <c r="D36" s="23"/>
      <c r="H36" s="22"/>
      <c r="I36" t="b">
        <f t="shared" ref="I36:I67" si="1">IF(OR(F36="住宅",F36="水道・光熱費",G36="インターネット",,C36="アマゾンプライム"),"固定費",IF(F36="収入","収入"))</f>
        <v>0</v>
      </c>
    </row>
    <row r="37" spans="1:9" x14ac:dyDescent="0.15">
      <c r="B37" s="66"/>
      <c r="D37" s="23"/>
      <c r="H37" s="22"/>
      <c r="I37" t="b">
        <f t="shared" si="1"/>
        <v>0</v>
      </c>
    </row>
    <row r="38" spans="1:9" x14ac:dyDescent="0.15">
      <c r="A38" s="22"/>
      <c r="B38" s="66"/>
      <c r="D38" s="23"/>
      <c r="E38" s="6"/>
      <c r="I38" t="b">
        <f t="shared" si="1"/>
        <v>0</v>
      </c>
    </row>
    <row r="39" spans="1:9" x14ac:dyDescent="0.15">
      <c r="B39" s="66"/>
      <c r="D39" s="1"/>
      <c r="I39" t="b">
        <f t="shared" si="1"/>
        <v>0</v>
      </c>
    </row>
    <row r="40" spans="1:9" x14ac:dyDescent="0.15">
      <c r="B40" s="66"/>
      <c r="D40" s="23"/>
      <c r="I40" t="b">
        <f t="shared" si="1"/>
        <v>0</v>
      </c>
    </row>
    <row r="41" spans="1:9" x14ac:dyDescent="0.15">
      <c r="B41" s="66"/>
      <c r="D41" s="1"/>
      <c r="I41" t="b">
        <f t="shared" si="1"/>
        <v>0</v>
      </c>
    </row>
    <row r="42" spans="1:9" x14ac:dyDescent="0.15">
      <c r="A42" s="22"/>
      <c r="B42" s="66"/>
      <c r="C42" s="6"/>
      <c r="D42" s="23"/>
      <c r="E42" s="1"/>
      <c r="H42" s="22"/>
      <c r="I42" t="b">
        <f t="shared" si="1"/>
        <v>0</v>
      </c>
    </row>
    <row r="43" spans="1:9" x14ac:dyDescent="0.15">
      <c r="B43" s="66"/>
      <c r="D43" s="1"/>
      <c r="I43" t="b">
        <f t="shared" si="1"/>
        <v>0</v>
      </c>
    </row>
    <row r="44" spans="1:9" x14ac:dyDescent="0.15">
      <c r="B44" s="66"/>
      <c r="I44" t="b">
        <f t="shared" si="1"/>
        <v>0</v>
      </c>
    </row>
    <row r="45" spans="1:9" x14ac:dyDescent="0.15">
      <c r="A45" s="22"/>
      <c r="B45" s="66"/>
      <c r="D45" s="23"/>
      <c r="E45" s="6"/>
      <c r="I45" t="b">
        <f t="shared" si="1"/>
        <v>0</v>
      </c>
    </row>
    <row r="46" spans="1:9" x14ac:dyDescent="0.15">
      <c r="B46" s="66"/>
      <c r="D46" s="1"/>
      <c r="I46" t="b">
        <f t="shared" si="1"/>
        <v>0</v>
      </c>
    </row>
    <row r="47" spans="1:9" x14ac:dyDescent="0.15">
      <c r="B47" s="66"/>
      <c r="D47" s="23"/>
      <c r="H47" s="22"/>
      <c r="I47" t="b">
        <f t="shared" si="1"/>
        <v>0</v>
      </c>
    </row>
    <row r="48" spans="1:9" x14ac:dyDescent="0.15">
      <c r="B48" s="66"/>
      <c r="D48" s="23"/>
      <c r="H48" s="22"/>
      <c r="I48" t="b">
        <f t="shared" si="1"/>
        <v>0</v>
      </c>
    </row>
    <row r="49" spans="2:14" x14ac:dyDescent="0.15">
      <c r="B49" s="66"/>
      <c r="D49" s="23"/>
      <c r="H49" s="22"/>
      <c r="I49" t="b">
        <f t="shared" si="1"/>
        <v>0</v>
      </c>
    </row>
    <row r="50" spans="2:14" x14ac:dyDescent="0.15">
      <c r="B50" s="66"/>
      <c r="D50" s="23"/>
      <c r="H50" s="22"/>
      <c r="I50" t="b">
        <f t="shared" si="1"/>
        <v>0</v>
      </c>
    </row>
    <row r="51" spans="2:14" x14ac:dyDescent="0.15">
      <c r="B51" s="66"/>
      <c r="D51" s="23"/>
      <c r="I51" t="b">
        <f t="shared" si="1"/>
        <v>0</v>
      </c>
      <c r="N51" s="1"/>
    </row>
    <row r="52" spans="2:14" x14ac:dyDescent="0.15">
      <c r="B52" s="66"/>
      <c r="D52" s="6"/>
      <c r="H52" s="22"/>
      <c r="I52" t="b">
        <f t="shared" si="1"/>
        <v>0</v>
      </c>
      <c r="N52" s="1"/>
    </row>
    <row r="53" spans="2:14" x14ac:dyDescent="0.15">
      <c r="B53" s="66"/>
      <c r="D53" s="23"/>
      <c r="H53" s="22"/>
      <c r="I53" t="b">
        <f t="shared" si="1"/>
        <v>0</v>
      </c>
    </row>
    <row r="54" spans="2:14" x14ac:dyDescent="0.15">
      <c r="B54" s="66"/>
      <c r="D54" s="23"/>
      <c r="E54" s="1"/>
      <c r="I54" t="b">
        <f t="shared" si="1"/>
        <v>0</v>
      </c>
    </row>
    <row r="55" spans="2:14" x14ac:dyDescent="0.15">
      <c r="B55" s="66"/>
      <c r="D55" s="1"/>
      <c r="I55" t="b">
        <f t="shared" si="1"/>
        <v>0</v>
      </c>
    </row>
    <row r="56" spans="2:14" x14ac:dyDescent="0.15">
      <c r="B56" s="66"/>
      <c r="D56" s="23"/>
      <c r="H56" s="22"/>
      <c r="I56" t="b">
        <f t="shared" si="1"/>
        <v>0</v>
      </c>
    </row>
    <row r="57" spans="2:14" x14ac:dyDescent="0.15">
      <c r="B57" s="66"/>
      <c r="D57" s="23"/>
      <c r="H57" s="22"/>
      <c r="I57" t="b">
        <f t="shared" si="1"/>
        <v>0</v>
      </c>
      <c r="N57" s="1"/>
    </row>
    <row r="58" spans="2:14" x14ac:dyDescent="0.15">
      <c r="B58" s="66"/>
      <c r="D58" s="23"/>
      <c r="I58" t="b">
        <f t="shared" si="1"/>
        <v>0</v>
      </c>
      <c r="N58" s="1"/>
    </row>
    <row r="59" spans="2:14" x14ac:dyDescent="0.15">
      <c r="B59" s="66"/>
      <c r="I59" t="b">
        <f t="shared" si="1"/>
        <v>0</v>
      </c>
    </row>
    <row r="60" spans="2:14" x14ac:dyDescent="0.15">
      <c r="B60" s="66"/>
      <c r="I60" t="b">
        <f t="shared" si="1"/>
        <v>0</v>
      </c>
    </row>
    <row r="61" spans="2:14" x14ac:dyDescent="0.15">
      <c r="B61" s="66"/>
      <c r="I61" t="b">
        <f t="shared" si="1"/>
        <v>0</v>
      </c>
    </row>
    <row r="62" spans="2:14" x14ac:dyDescent="0.15">
      <c r="B62" s="66"/>
      <c r="D62" s="1"/>
      <c r="I62" t="b">
        <f t="shared" si="1"/>
        <v>0</v>
      </c>
    </row>
    <row r="63" spans="2:14" x14ac:dyDescent="0.15">
      <c r="B63" s="66"/>
      <c r="D63" s="23"/>
      <c r="E63" s="6"/>
      <c r="H63" s="22"/>
      <c r="I63" t="b">
        <f t="shared" si="1"/>
        <v>0</v>
      </c>
    </row>
    <row r="64" spans="2:14" x14ac:dyDescent="0.15">
      <c r="B64" s="66"/>
      <c r="D64" s="23"/>
      <c r="H64" s="22"/>
      <c r="I64" t="b">
        <f t="shared" si="1"/>
        <v>0</v>
      </c>
    </row>
    <row r="65" spans="2:9" x14ac:dyDescent="0.15">
      <c r="B65" s="66"/>
      <c r="D65" s="1"/>
      <c r="I65" t="b">
        <f t="shared" si="1"/>
        <v>0</v>
      </c>
    </row>
    <row r="66" spans="2:9" x14ac:dyDescent="0.15">
      <c r="B66" s="66"/>
      <c r="D66" s="6"/>
      <c r="H66" s="22"/>
      <c r="I66" t="b">
        <f t="shared" si="1"/>
        <v>0</v>
      </c>
    </row>
    <row r="67" spans="2:9" x14ac:dyDescent="0.15">
      <c r="B67" s="66"/>
      <c r="D67" s="23"/>
      <c r="H67" s="22"/>
      <c r="I67" t="b">
        <f t="shared" si="1"/>
        <v>0</v>
      </c>
    </row>
    <row r="68" spans="2:9" x14ac:dyDescent="0.15">
      <c r="B68" s="66"/>
      <c r="D68" s="23"/>
      <c r="H68" s="22"/>
      <c r="I68" t="b">
        <f t="shared" ref="I68:I90" si="2">IF(OR(F68="住宅",F68="水道・光熱費",G68="インターネット",,C68="アマゾンプライム"),"固定費",IF(F68="収入","収入"))</f>
        <v>0</v>
      </c>
    </row>
    <row r="69" spans="2:9" x14ac:dyDescent="0.15">
      <c r="B69" s="66"/>
      <c r="D69" s="1"/>
      <c r="I69" t="b">
        <f t="shared" si="2"/>
        <v>0</v>
      </c>
    </row>
    <row r="70" spans="2:9" x14ac:dyDescent="0.15">
      <c r="B70" s="66"/>
      <c r="D70" s="6"/>
      <c r="H70" s="22"/>
      <c r="I70" t="b">
        <f t="shared" si="2"/>
        <v>0</v>
      </c>
    </row>
    <row r="71" spans="2:9" x14ac:dyDescent="0.15">
      <c r="B71" s="66"/>
      <c r="D71" s="23"/>
      <c r="H71" s="22"/>
      <c r="I71" t="b">
        <f t="shared" si="2"/>
        <v>0</v>
      </c>
    </row>
    <row r="72" spans="2:9" x14ac:dyDescent="0.15">
      <c r="B72" s="66"/>
      <c r="D72" s="23"/>
      <c r="H72" s="22"/>
      <c r="I72" t="b">
        <f t="shared" si="2"/>
        <v>0</v>
      </c>
    </row>
    <row r="73" spans="2:9" x14ac:dyDescent="0.15">
      <c r="B73" s="66"/>
      <c r="D73" s="23"/>
      <c r="H73" s="22"/>
      <c r="I73" t="b">
        <f t="shared" si="2"/>
        <v>0</v>
      </c>
    </row>
    <row r="74" spans="2:9" x14ac:dyDescent="0.15">
      <c r="B74" s="66"/>
      <c r="D74" s="23"/>
      <c r="H74" s="22"/>
      <c r="I74" t="b">
        <f t="shared" si="2"/>
        <v>0</v>
      </c>
    </row>
    <row r="75" spans="2:9" x14ac:dyDescent="0.15">
      <c r="B75" s="66"/>
      <c r="D75" s="23"/>
      <c r="H75" s="22"/>
      <c r="I75" t="b">
        <f t="shared" si="2"/>
        <v>0</v>
      </c>
    </row>
    <row r="76" spans="2:9" x14ac:dyDescent="0.15">
      <c r="B76" s="66"/>
      <c r="D76" s="23"/>
      <c r="H76" s="22"/>
      <c r="I76" t="b">
        <f t="shared" si="2"/>
        <v>0</v>
      </c>
    </row>
    <row r="77" spans="2:9" x14ac:dyDescent="0.15">
      <c r="B77" s="66"/>
      <c r="D77" s="23"/>
      <c r="H77" s="22"/>
      <c r="I77" t="b">
        <f t="shared" si="2"/>
        <v>0</v>
      </c>
    </row>
    <row r="78" spans="2:9" x14ac:dyDescent="0.15">
      <c r="B78" s="66"/>
      <c r="D78" s="23"/>
      <c r="H78" s="22"/>
      <c r="I78" t="b">
        <f t="shared" si="2"/>
        <v>0</v>
      </c>
    </row>
    <row r="79" spans="2:9" x14ac:dyDescent="0.15">
      <c r="B79" s="66"/>
      <c r="D79" s="23"/>
      <c r="H79" s="22"/>
      <c r="I79" t="b">
        <f t="shared" si="2"/>
        <v>0</v>
      </c>
    </row>
    <row r="80" spans="2:9" x14ac:dyDescent="0.15">
      <c r="B80" s="66"/>
      <c r="D80" s="23"/>
      <c r="H80" s="22"/>
      <c r="I80" t="b">
        <f t="shared" si="2"/>
        <v>0</v>
      </c>
    </row>
    <row r="81" spans="2:9" x14ac:dyDescent="0.15">
      <c r="B81" s="66"/>
      <c r="D81" s="23"/>
      <c r="H81" s="22"/>
      <c r="I81" t="b">
        <f t="shared" si="2"/>
        <v>0</v>
      </c>
    </row>
    <row r="82" spans="2:9" x14ac:dyDescent="0.15">
      <c r="B82" s="66"/>
      <c r="D82" s="23"/>
      <c r="H82" s="22"/>
      <c r="I82" t="b">
        <f t="shared" si="2"/>
        <v>0</v>
      </c>
    </row>
    <row r="83" spans="2:9" x14ac:dyDescent="0.15">
      <c r="B83" s="66"/>
      <c r="D83" s="23"/>
      <c r="H83" s="22"/>
      <c r="I83" t="b">
        <f t="shared" si="2"/>
        <v>0</v>
      </c>
    </row>
    <row r="84" spans="2:9" x14ac:dyDescent="0.15">
      <c r="B84" s="66"/>
      <c r="D84" s="23"/>
      <c r="H84" s="22"/>
      <c r="I84" t="b">
        <f t="shared" si="2"/>
        <v>0</v>
      </c>
    </row>
    <row r="85" spans="2:9" x14ac:dyDescent="0.15">
      <c r="B85" s="66"/>
      <c r="D85" s="23"/>
      <c r="H85" s="22"/>
      <c r="I85" t="b">
        <f t="shared" si="2"/>
        <v>0</v>
      </c>
    </row>
    <row r="86" spans="2:9" x14ac:dyDescent="0.15">
      <c r="B86" s="66"/>
      <c r="D86" s="23"/>
      <c r="H86" s="22"/>
      <c r="I86" t="b">
        <f t="shared" si="2"/>
        <v>0</v>
      </c>
    </row>
    <row r="87" spans="2:9" x14ac:dyDescent="0.15">
      <c r="B87" s="66"/>
      <c r="D87" s="23"/>
      <c r="H87" s="22"/>
      <c r="I87" t="b">
        <f t="shared" si="2"/>
        <v>0</v>
      </c>
    </row>
    <row r="88" spans="2:9" x14ac:dyDescent="0.15">
      <c r="B88" s="66"/>
      <c r="D88" s="23"/>
      <c r="H88" s="22"/>
      <c r="I88" t="b">
        <f t="shared" si="2"/>
        <v>0</v>
      </c>
    </row>
    <row r="89" spans="2:9" x14ac:dyDescent="0.15">
      <c r="B89" s="66"/>
      <c r="D89" s="23"/>
      <c r="H89" s="22"/>
      <c r="I89" t="b">
        <f t="shared" si="2"/>
        <v>0</v>
      </c>
    </row>
    <row r="90" spans="2:9" x14ac:dyDescent="0.15">
      <c r="B90" s="66"/>
      <c r="D90" s="23"/>
      <c r="H90" s="22"/>
      <c r="I90" t="b">
        <f t="shared" si="2"/>
        <v>0</v>
      </c>
    </row>
    <row r="91" spans="2:9" x14ac:dyDescent="0.15">
      <c r="B91" s="66"/>
      <c r="D91" s="23"/>
      <c r="H91" s="22"/>
      <c r="I91" t="b">
        <f t="shared" ref="I91:I132" si="3">IF(OR(F91="住宅",F91="水道・光熱費",G91="インターネット",,C91="アマゾンプライム"),"固定費",IF(F91="収入","収入"))</f>
        <v>0</v>
      </c>
    </row>
    <row r="92" spans="2:9" x14ac:dyDescent="0.15">
      <c r="B92" s="66"/>
      <c r="D92" s="23"/>
      <c r="H92" s="22"/>
      <c r="I92" t="b">
        <f t="shared" si="3"/>
        <v>0</v>
      </c>
    </row>
    <row r="93" spans="2:9" x14ac:dyDescent="0.15">
      <c r="B93" s="66"/>
      <c r="D93" s="23"/>
      <c r="H93" s="22"/>
      <c r="I93" t="b">
        <f t="shared" si="3"/>
        <v>0</v>
      </c>
    </row>
    <row r="94" spans="2:9" x14ac:dyDescent="0.15">
      <c r="B94" s="66"/>
      <c r="D94" s="23"/>
      <c r="H94" s="22"/>
      <c r="I94" t="b">
        <f t="shared" si="3"/>
        <v>0</v>
      </c>
    </row>
    <row r="95" spans="2:9" x14ac:dyDescent="0.15">
      <c r="B95" s="66"/>
      <c r="D95" s="23"/>
      <c r="H95" s="22"/>
      <c r="I95" t="b">
        <f t="shared" si="3"/>
        <v>0</v>
      </c>
    </row>
    <row r="96" spans="2:9" x14ac:dyDescent="0.15">
      <c r="B96" s="66"/>
      <c r="D96" s="23"/>
      <c r="H96" s="22"/>
      <c r="I96" t="b">
        <f t="shared" si="3"/>
        <v>0</v>
      </c>
    </row>
    <row r="97" spans="2:9" x14ac:dyDescent="0.15">
      <c r="B97" s="66"/>
      <c r="D97" s="23"/>
      <c r="H97" s="22"/>
      <c r="I97" t="b">
        <f t="shared" si="3"/>
        <v>0</v>
      </c>
    </row>
    <row r="98" spans="2:9" x14ac:dyDescent="0.15">
      <c r="B98" s="66"/>
      <c r="D98" s="23"/>
      <c r="H98" s="22"/>
      <c r="I98" t="b">
        <f t="shared" si="3"/>
        <v>0</v>
      </c>
    </row>
    <row r="99" spans="2:9" x14ac:dyDescent="0.15">
      <c r="B99" s="66"/>
      <c r="D99" s="23"/>
      <c r="H99" s="22"/>
      <c r="I99" t="b">
        <f t="shared" si="3"/>
        <v>0</v>
      </c>
    </row>
    <row r="100" spans="2:9" x14ac:dyDescent="0.15">
      <c r="B100" s="66"/>
      <c r="D100" s="23"/>
      <c r="H100" s="22"/>
      <c r="I100" t="b">
        <f t="shared" si="3"/>
        <v>0</v>
      </c>
    </row>
    <row r="101" spans="2:9" x14ac:dyDescent="0.15">
      <c r="B101" s="66"/>
      <c r="D101" s="23"/>
      <c r="H101" s="22"/>
      <c r="I101" t="b">
        <f t="shared" si="3"/>
        <v>0</v>
      </c>
    </row>
    <row r="102" spans="2:9" x14ac:dyDescent="0.15">
      <c r="B102" s="66"/>
      <c r="D102" s="23"/>
      <c r="H102" s="22"/>
      <c r="I102" t="b">
        <f t="shared" si="3"/>
        <v>0</v>
      </c>
    </row>
    <row r="103" spans="2:9" x14ac:dyDescent="0.15">
      <c r="B103" s="66"/>
      <c r="D103" s="23"/>
      <c r="H103" s="22"/>
      <c r="I103" t="b">
        <f t="shared" si="3"/>
        <v>0</v>
      </c>
    </row>
    <row r="104" spans="2:9" x14ac:dyDescent="0.15">
      <c r="B104" s="66"/>
      <c r="D104" s="23"/>
      <c r="H104" s="22"/>
      <c r="I104" t="b">
        <f t="shared" si="3"/>
        <v>0</v>
      </c>
    </row>
    <row r="105" spans="2:9" x14ac:dyDescent="0.15">
      <c r="B105" s="66"/>
      <c r="D105" s="23"/>
      <c r="H105" s="22"/>
      <c r="I105" t="b">
        <f t="shared" si="3"/>
        <v>0</v>
      </c>
    </row>
    <row r="106" spans="2:9" x14ac:dyDescent="0.15">
      <c r="B106" s="66"/>
      <c r="D106" s="23"/>
      <c r="H106" s="22"/>
      <c r="I106" t="b">
        <f t="shared" si="3"/>
        <v>0</v>
      </c>
    </row>
    <row r="107" spans="2:9" x14ac:dyDescent="0.15">
      <c r="B107" s="66"/>
      <c r="D107" s="23"/>
      <c r="H107" s="22"/>
      <c r="I107" t="b">
        <f t="shared" si="3"/>
        <v>0</v>
      </c>
    </row>
    <row r="108" spans="2:9" x14ac:dyDescent="0.15">
      <c r="B108" s="66"/>
      <c r="D108" s="23"/>
      <c r="H108" s="22"/>
      <c r="I108" t="b">
        <f t="shared" si="3"/>
        <v>0</v>
      </c>
    </row>
    <row r="109" spans="2:9" x14ac:dyDescent="0.15">
      <c r="B109" s="66"/>
      <c r="D109" s="23"/>
      <c r="H109" s="22"/>
      <c r="I109" t="b">
        <f t="shared" si="3"/>
        <v>0</v>
      </c>
    </row>
    <row r="110" spans="2:9" x14ac:dyDescent="0.15">
      <c r="B110" s="66"/>
      <c r="D110" s="23"/>
      <c r="H110" s="22"/>
      <c r="I110" t="b">
        <f t="shared" si="3"/>
        <v>0</v>
      </c>
    </row>
    <row r="111" spans="2:9" x14ac:dyDescent="0.15">
      <c r="B111" s="66"/>
      <c r="D111" s="23"/>
      <c r="H111" s="22"/>
      <c r="I111" t="b">
        <f t="shared" si="3"/>
        <v>0</v>
      </c>
    </row>
    <row r="112" spans="2:9" x14ac:dyDescent="0.15">
      <c r="B112" s="66"/>
      <c r="D112" s="23"/>
      <c r="H112" s="22"/>
      <c r="I112" t="b">
        <f t="shared" si="3"/>
        <v>0</v>
      </c>
    </row>
    <row r="113" spans="2:9" x14ac:dyDescent="0.15">
      <c r="B113" s="66"/>
      <c r="D113" s="23"/>
      <c r="H113" s="22"/>
      <c r="I113" t="b">
        <f t="shared" si="3"/>
        <v>0</v>
      </c>
    </row>
    <row r="114" spans="2:9" x14ac:dyDescent="0.15">
      <c r="B114" s="66"/>
      <c r="D114" s="23"/>
      <c r="H114" s="22"/>
      <c r="I114" t="b">
        <f t="shared" si="3"/>
        <v>0</v>
      </c>
    </row>
    <row r="115" spans="2:9" x14ac:dyDescent="0.15">
      <c r="B115" s="66"/>
      <c r="D115" s="23"/>
      <c r="H115" s="22"/>
      <c r="I115" t="b">
        <f t="shared" si="3"/>
        <v>0</v>
      </c>
    </row>
    <row r="116" spans="2:9" x14ac:dyDescent="0.15">
      <c r="B116" s="66"/>
      <c r="D116" s="23"/>
      <c r="H116" s="22"/>
      <c r="I116" t="b">
        <f t="shared" si="3"/>
        <v>0</v>
      </c>
    </row>
    <row r="117" spans="2:9" x14ac:dyDescent="0.15">
      <c r="B117" s="66"/>
      <c r="D117" s="23"/>
      <c r="H117" s="22"/>
      <c r="I117" t="b">
        <f t="shared" si="3"/>
        <v>0</v>
      </c>
    </row>
    <row r="118" spans="2:9" x14ac:dyDescent="0.15">
      <c r="B118" s="66"/>
      <c r="D118" s="23"/>
      <c r="H118" s="22"/>
      <c r="I118" t="b">
        <f t="shared" si="3"/>
        <v>0</v>
      </c>
    </row>
    <row r="119" spans="2:9" x14ac:dyDescent="0.15">
      <c r="B119" s="66"/>
      <c r="D119" s="23"/>
      <c r="H119" s="22"/>
      <c r="I119" t="b">
        <f t="shared" si="3"/>
        <v>0</v>
      </c>
    </row>
    <row r="120" spans="2:9" x14ac:dyDescent="0.15">
      <c r="B120" s="66"/>
      <c r="D120" s="23"/>
      <c r="H120" s="22"/>
      <c r="I120" t="b">
        <f t="shared" si="3"/>
        <v>0</v>
      </c>
    </row>
    <row r="121" spans="2:9" x14ac:dyDescent="0.15">
      <c r="B121" s="66"/>
      <c r="D121" s="23"/>
      <c r="H121" s="22"/>
      <c r="I121" t="b">
        <f t="shared" si="3"/>
        <v>0</v>
      </c>
    </row>
    <row r="122" spans="2:9" x14ac:dyDescent="0.15">
      <c r="B122" s="66"/>
      <c r="D122" s="23"/>
      <c r="H122" s="22"/>
      <c r="I122" t="b">
        <f t="shared" si="3"/>
        <v>0</v>
      </c>
    </row>
    <row r="123" spans="2:9" x14ac:dyDescent="0.15">
      <c r="B123" s="66"/>
      <c r="D123" s="23"/>
      <c r="H123" s="22"/>
      <c r="I123" t="b">
        <f t="shared" si="3"/>
        <v>0</v>
      </c>
    </row>
    <row r="124" spans="2:9" x14ac:dyDescent="0.15">
      <c r="B124" s="66"/>
      <c r="D124" s="23"/>
      <c r="H124" s="22"/>
      <c r="I124" t="b">
        <f t="shared" si="3"/>
        <v>0</v>
      </c>
    </row>
    <row r="125" spans="2:9" x14ac:dyDescent="0.15">
      <c r="B125" s="66"/>
      <c r="D125" s="23"/>
      <c r="H125" s="22"/>
      <c r="I125" t="b">
        <f t="shared" si="3"/>
        <v>0</v>
      </c>
    </row>
    <row r="126" spans="2:9" x14ac:dyDescent="0.15">
      <c r="B126" s="66"/>
      <c r="D126" s="23"/>
      <c r="H126" s="22"/>
      <c r="I126" t="b">
        <f t="shared" si="3"/>
        <v>0</v>
      </c>
    </row>
    <row r="127" spans="2:9" x14ac:dyDescent="0.15">
      <c r="B127" s="66"/>
      <c r="D127" s="23"/>
      <c r="H127" s="22"/>
      <c r="I127" t="b">
        <f t="shared" si="3"/>
        <v>0</v>
      </c>
    </row>
    <row r="128" spans="2:9" x14ac:dyDescent="0.15">
      <c r="B128" s="66"/>
      <c r="D128" s="23"/>
      <c r="H128" s="22"/>
      <c r="I128" t="b">
        <f t="shared" si="3"/>
        <v>0</v>
      </c>
    </row>
    <row r="129" spans="2:9" x14ac:dyDescent="0.15">
      <c r="B129" s="66"/>
      <c r="D129" s="23"/>
      <c r="H129" s="22"/>
      <c r="I129" t="b">
        <f t="shared" si="3"/>
        <v>0</v>
      </c>
    </row>
    <row r="130" spans="2:9" x14ac:dyDescent="0.15">
      <c r="B130" s="66"/>
      <c r="D130" s="23"/>
      <c r="H130" s="22"/>
      <c r="I130" t="b">
        <f t="shared" si="3"/>
        <v>0</v>
      </c>
    </row>
    <row r="131" spans="2:9" x14ac:dyDescent="0.15">
      <c r="B131" s="66"/>
      <c r="D131" s="23"/>
      <c r="H131" s="22"/>
      <c r="I131" t="b">
        <f t="shared" si="3"/>
        <v>0</v>
      </c>
    </row>
    <row r="132" spans="2:9" x14ac:dyDescent="0.15">
      <c r="B132" s="66"/>
      <c r="D132" s="23"/>
      <c r="H132" s="22"/>
      <c r="I132" t="b">
        <f t="shared" si="3"/>
        <v>0</v>
      </c>
    </row>
    <row r="133" spans="2:9" x14ac:dyDescent="0.15">
      <c r="B133" s="66"/>
      <c r="D133" s="23"/>
      <c r="H133" s="22"/>
      <c r="I133" t="b">
        <f t="shared" ref="I133:I185" si="4">IF(OR(F133="住宅",F133="水道・光熱費",G133="インターネット",,C133="アマゾンプライム"),"固定費",IF(F133="収入","収入"))</f>
        <v>0</v>
      </c>
    </row>
    <row r="134" spans="2:9" x14ac:dyDescent="0.15">
      <c r="B134" s="66"/>
      <c r="D134" s="23"/>
      <c r="H134" s="22"/>
      <c r="I134" t="b">
        <f t="shared" si="4"/>
        <v>0</v>
      </c>
    </row>
    <row r="135" spans="2:9" x14ac:dyDescent="0.15">
      <c r="B135" s="66"/>
      <c r="D135" s="23"/>
      <c r="H135" s="22"/>
      <c r="I135" t="b">
        <f t="shared" si="4"/>
        <v>0</v>
      </c>
    </row>
    <row r="136" spans="2:9" x14ac:dyDescent="0.15">
      <c r="B136" s="66"/>
      <c r="D136" s="23"/>
      <c r="H136" s="22"/>
      <c r="I136" t="b">
        <f t="shared" si="4"/>
        <v>0</v>
      </c>
    </row>
    <row r="137" spans="2:9" x14ac:dyDescent="0.15">
      <c r="B137" s="66"/>
      <c r="D137" s="23"/>
      <c r="H137" s="22"/>
      <c r="I137" t="b">
        <f t="shared" si="4"/>
        <v>0</v>
      </c>
    </row>
    <row r="138" spans="2:9" x14ac:dyDescent="0.15">
      <c r="B138" s="66"/>
      <c r="D138" s="23"/>
      <c r="H138" s="22"/>
      <c r="I138" t="b">
        <f t="shared" si="4"/>
        <v>0</v>
      </c>
    </row>
    <row r="139" spans="2:9" x14ac:dyDescent="0.15">
      <c r="B139" s="66"/>
      <c r="D139" s="23"/>
      <c r="H139" s="22"/>
      <c r="I139" t="b">
        <f t="shared" si="4"/>
        <v>0</v>
      </c>
    </row>
    <row r="140" spans="2:9" x14ac:dyDescent="0.15">
      <c r="B140" s="66"/>
      <c r="D140" s="23"/>
      <c r="H140" s="22"/>
      <c r="I140" t="b">
        <f t="shared" si="4"/>
        <v>0</v>
      </c>
    </row>
    <row r="141" spans="2:9" x14ac:dyDescent="0.15">
      <c r="B141" s="66"/>
      <c r="D141" s="23"/>
      <c r="H141" s="22"/>
      <c r="I141" t="b">
        <f t="shared" si="4"/>
        <v>0</v>
      </c>
    </row>
    <row r="142" spans="2:9" x14ac:dyDescent="0.15">
      <c r="B142" s="66"/>
      <c r="D142" s="23"/>
      <c r="H142" s="22"/>
      <c r="I142" t="b">
        <f t="shared" si="4"/>
        <v>0</v>
      </c>
    </row>
    <row r="143" spans="2:9" x14ac:dyDescent="0.15">
      <c r="B143" s="66"/>
      <c r="D143" s="23"/>
      <c r="H143" s="22"/>
      <c r="I143" t="b">
        <f t="shared" si="4"/>
        <v>0</v>
      </c>
    </row>
    <row r="144" spans="2:9" x14ac:dyDescent="0.15">
      <c r="B144" s="66"/>
      <c r="D144" s="23"/>
      <c r="H144" s="22"/>
      <c r="I144" t="b">
        <f t="shared" si="4"/>
        <v>0</v>
      </c>
    </row>
    <row r="145" spans="1:14" x14ac:dyDescent="0.15">
      <c r="B145" s="66"/>
      <c r="D145" s="23"/>
      <c r="I145" t="b">
        <f t="shared" si="4"/>
        <v>0</v>
      </c>
    </row>
    <row r="146" spans="1:14" x14ac:dyDescent="0.15">
      <c r="A146" s="22"/>
      <c r="B146" s="66"/>
      <c r="D146" s="23"/>
      <c r="E146" s="6"/>
      <c r="I146" t="b">
        <f t="shared" si="4"/>
        <v>0</v>
      </c>
    </row>
    <row r="147" spans="1:14" x14ac:dyDescent="0.15">
      <c r="B147" s="66"/>
      <c r="D147" s="1"/>
      <c r="I147" t="b">
        <f t="shared" si="4"/>
        <v>0</v>
      </c>
    </row>
    <row r="148" spans="1:14" x14ac:dyDescent="0.15">
      <c r="B148" s="66"/>
      <c r="D148" s="6"/>
      <c r="H148" s="22"/>
      <c r="I148" t="b">
        <f t="shared" si="4"/>
        <v>0</v>
      </c>
    </row>
    <row r="149" spans="1:14" x14ac:dyDescent="0.15">
      <c r="B149" s="66"/>
      <c r="I149" t="b">
        <f t="shared" si="4"/>
        <v>0</v>
      </c>
    </row>
    <row r="150" spans="1:14" x14ac:dyDescent="0.15">
      <c r="B150" s="66"/>
      <c r="I150" t="b">
        <f t="shared" si="4"/>
        <v>0</v>
      </c>
    </row>
    <row r="151" spans="1:14" x14ac:dyDescent="0.15">
      <c r="B151" s="66"/>
      <c r="I151" t="b">
        <f t="shared" si="4"/>
        <v>0</v>
      </c>
    </row>
    <row r="152" spans="1:14" x14ac:dyDescent="0.15">
      <c r="B152" s="66"/>
      <c r="D152" s="23"/>
      <c r="I152" t="b">
        <f t="shared" si="4"/>
        <v>0</v>
      </c>
    </row>
    <row r="153" spans="1:14" x14ac:dyDescent="0.15">
      <c r="B153" s="66"/>
      <c r="D153" s="6"/>
      <c r="H153" s="22"/>
      <c r="I153" t="b">
        <f t="shared" si="4"/>
        <v>0</v>
      </c>
    </row>
    <row r="154" spans="1:14" x14ac:dyDescent="0.15">
      <c r="B154" s="66"/>
      <c r="D154" s="23"/>
      <c r="I154" t="b">
        <f t="shared" si="4"/>
        <v>0</v>
      </c>
      <c r="N154" s="1"/>
    </row>
    <row r="155" spans="1:14" x14ac:dyDescent="0.15">
      <c r="B155" s="66"/>
      <c r="I155" t="b">
        <f t="shared" si="4"/>
        <v>0</v>
      </c>
      <c r="N155" s="1"/>
    </row>
    <row r="156" spans="1:14" x14ac:dyDescent="0.15">
      <c r="B156" s="66"/>
      <c r="D156" s="1"/>
      <c r="I156" t="b">
        <f t="shared" si="4"/>
        <v>0</v>
      </c>
    </row>
    <row r="157" spans="1:14" x14ac:dyDescent="0.15">
      <c r="B157" s="66"/>
      <c r="D157" s="23"/>
      <c r="E157" s="1"/>
      <c r="I157" t="b">
        <f t="shared" si="4"/>
        <v>0</v>
      </c>
    </row>
    <row r="158" spans="1:14" x14ac:dyDescent="0.15">
      <c r="B158" s="66"/>
      <c r="I158" t="b">
        <f t="shared" si="4"/>
        <v>0</v>
      </c>
    </row>
    <row r="159" spans="1:14" x14ac:dyDescent="0.15">
      <c r="B159" s="66"/>
      <c r="I159" t="b">
        <f t="shared" si="4"/>
        <v>0</v>
      </c>
    </row>
    <row r="160" spans="1:14" x14ac:dyDescent="0.15">
      <c r="B160" s="66"/>
      <c r="D160" s="1"/>
      <c r="I160" t="b">
        <f t="shared" si="4"/>
        <v>0</v>
      </c>
    </row>
    <row r="161" spans="1:9" x14ac:dyDescent="0.15">
      <c r="B161" s="66"/>
      <c r="I161" t="b">
        <f t="shared" si="4"/>
        <v>0</v>
      </c>
    </row>
    <row r="162" spans="1:9" x14ac:dyDescent="0.15">
      <c r="B162" s="66"/>
      <c r="D162" s="6"/>
      <c r="H162" s="22"/>
      <c r="I162" t="b">
        <f t="shared" si="4"/>
        <v>0</v>
      </c>
    </row>
    <row r="163" spans="1:9" x14ac:dyDescent="0.15">
      <c r="B163" s="66"/>
      <c r="D163" s="1"/>
      <c r="I163" t="b">
        <f t="shared" si="4"/>
        <v>0</v>
      </c>
    </row>
    <row r="164" spans="1:9" x14ac:dyDescent="0.15">
      <c r="B164" s="66"/>
      <c r="D164" s="1"/>
      <c r="I164" t="b">
        <f t="shared" si="4"/>
        <v>0</v>
      </c>
    </row>
    <row r="165" spans="1:9" x14ac:dyDescent="0.15">
      <c r="B165" s="66"/>
      <c r="D165" s="23"/>
      <c r="I165" t="b">
        <f t="shared" si="4"/>
        <v>0</v>
      </c>
    </row>
    <row r="166" spans="1:9" x14ac:dyDescent="0.15">
      <c r="A166" s="22"/>
      <c r="B166" s="66"/>
      <c r="D166" s="23"/>
      <c r="E166" s="6"/>
      <c r="I166" t="b">
        <f t="shared" si="4"/>
        <v>0</v>
      </c>
    </row>
    <row r="167" spans="1:9" x14ac:dyDescent="0.15">
      <c r="B167" s="66"/>
      <c r="I167" t="b">
        <f t="shared" si="4"/>
        <v>0</v>
      </c>
    </row>
    <row r="168" spans="1:9" x14ac:dyDescent="0.15">
      <c r="B168" s="66"/>
      <c r="D168" s="1"/>
      <c r="I168" t="b">
        <f t="shared" si="4"/>
        <v>0</v>
      </c>
    </row>
    <row r="169" spans="1:9" x14ac:dyDescent="0.15">
      <c r="B169" s="66"/>
      <c r="D169" s="1"/>
      <c r="I169" t="b">
        <f t="shared" si="4"/>
        <v>0</v>
      </c>
    </row>
    <row r="170" spans="1:9" x14ac:dyDescent="0.15">
      <c r="B170" s="66"/>
      <c r="D170" s="6"/>
      <c r="E170" s="1"/>
      <c r="I170" t="b">
        <f t="shared" si="4"/>
        <v>0</v>
      </c>
    </row>
    <row r="171" spans="1:9" x14ac:dyDescent="0.15">
      <c r="B171" s="66"/>
      <c r="D171" s="23"/>
      <c r="H171" s="22"/>
      <c r="I171" t="b">
        <f t="shared" si="4"/>
        <v>0</v>
      </c>
    </row>
    <row r="172" spans="1:9" x14ac:dyDescent="0.15">
      <c r="B172" s="66"/>
      <c r="I172" t="b">
        <f t="shared" si="4"/>
        <v>0</v>
      </c>
    </row>
    <row r="173" spans="1:9" x14ac:dyDescent="0.15">
      <c r="B173" s="66"/>
      <c r="I173" t="b">
        <f t="shared" si="4"/>
        <v>0</v>
      </c>
    </row>
    <row r="174" spans="1:9" x14ac:dyDescent="0.15">
      <c r="B174" s="66"/>
      <c r="I174" t="b">
        <f t="shared" si="4"/>
        <v>0</v>
      </c>
    </row>
    <row r="175" spans="1:9" x14ac:dyDescent="0.15">
      <c r="B175" s="66"/>
      <c r="I175" t="b">
        <f t="shared" si="4"/>
        <v>0</v>
      </c>
    </row>
    <row r="176" spans="1:9" x14ac:dyDescent="0.15">
      <c r="B176" s="66"/>
      <c r="I176" t="b">
        <f t="shared" si="4"/>
        <v>0</v>
      </c>
    </row>
    <row r="177" spans="1:14" x14ac:dyDescent="0.15">
      <c r="B177" s="66"/>
      <c r="I177" t="b">
        <f t="shared" si="4"/>
        <v>0</v>
      </c>
    </row>
    <row r="178" spans="1:14" x14ac:dyDescent="0.15">
      <c r="B178" s="66"/>
      <c r="I178" t="b">
        <f t="shared" si="4"/>
        <v>0</v>
      </c>
    </row>
    <row r="179" spans="1:14" x14ac:dyDescent="0.15">
      <c r="B179" s="66"/>
      <c r="D179" s="1"/>
      <c r="I179" t="b">
        <f t="shared" si="4"/>
        <v>0</v>
      </c>
    </row>
    <row r="180" spans="1:14" x14ac:dyDescent="0.15">
      <c r="B180" s="66"/>
      <c r="I180" t="b">
        <f t="shared" si="4"/>
        <v>0</v>
      </c>
      <c r="N180" s="1"/>
    </row>
    <row r="181" spans="1:14" x14ac:dyDescent="0.15">
      <c r="B181" s="66"/>
      <c r="D181" s="23"/>
      <c r="E181" s="6"/>
      <c r="H181" s="22"/>
      <c r="I181" t="b">
        <f t="shared" si="4"/>
        <v>0</v>
      </c>
    </row>
    <row r="182" spans="1:14" x14ac:dyDescent="0.15">
      <c r="B182" s="66"/>
      <c r="D182" s="23"/>
      <c r="E182" s="1"/>
      <c r="I182" t="b">
        <f t="shared" si="4"/>
        <v>0</v>
      </c>
      <c r="N182" s="1"/>
    </row>
    <row r="183" spans="1:14" x14ac:dyDescent="0.15">
      <c r="A183" s="22"/>
      <c r="B183" s="66"/>
      <c r="C183" s="6"/>
      <c r="D183" s="23"/>
      <c r="E183" s="1"/>
      <c r="H183" s="22"/>
      <c r="I183" t="b">
        <f t="shared" si="4"/>
        <v>0</v>
      </c>
    </row>
    <row r="184" spans="1:14" x14ac:dyDescent="0.15">
      <c r="B184" s="66"/>
      <c r="D184" s="23"/>
      <c r="H184" s="22"/>
      <c r="I184" t="b">
        <f t="shared" si="4"/>
        <v>0</v>
      </c>
      <c r="N184" s="1"/>
    </row>
    <row r="185" spans="1:14" ht="14.25" thickBot="1" x14ac:dyDescent="0.2">
      <c r="I185" t="b">
        <f t="shared" si="4"/>
        <v>0</v>
      </c>
    </row>
    <row r="186" spans="1:14" ht="14.25" thickBot="1" x14ac:dyDescent="0.2">
      <c r="C186" s="4"/>
      <c r="D186" s="60">
        <f>SUM(D4:D185)</f>
        <v>0</v>
      </c>
      <c r="E186" s="22"/>
    </row>
    <row r="187" spans="1:14" ht="14.25" thickBot="1" x14ac:dyDescent="0.2">
      <c r="A187" s="61"/>
      <c r="B187" s="61"/>
      <c r="C187" s="62"/>
      <c r="D187" s="63"/>
      <c r="E187" s="64"/>
      <c r="F187" s="61"/>
      <c r="G187" s="61"/>
      <c r="H187" s="61"/>
      <c r="I187" s="61"/>
      <c r="J187" s="61"/>
    </row>
    <row r="188" spans="1:14" x14ac:dyDescent="0.15">
      <c r="C188" s="4"/>
      <c r="D188" s="65"/>
      <c r="E188" s="22"/>
    </row>
    <row r="189" spans="1:14" x14ac:dyDescent="0.15">
      <c r="C189" s="4"/>
      <c r="D189" s="65"/>
      <c r="E189" s="22"/>
    </row>
    <row r="190" spans="1:14" x14ac:dyDescent="0.15">
      <c r="C190" s="4"/>
      <c r="D190" s="65"/>
      <c r="E190" s="22"/>
    </row>
    <row r="191" spans="1:14" ht="33" customHeight="1" x14ac:dyDescent="0.15">
      <c r="A191" s="12" t="s">
        <v>217</v>
      </c>
      <c r="C191" t="s">
        <v>223</v>
      </c>
    </row>
    <row r="192" spans="1:14" x14ac:dyDescent="0.15">
      <c r="B192" t="s">
        <v>6</v>
      </c>
      <c r="C192" s="1" t="s">
        <v>5</v>
      </c>
      <c r="D192" t="s">
        <v>4</v>
      </c>
      <c r="E192" t="s">
        <v>3</v>
      </c>
      <c r="F192" t="s">
        <v>9</v>
      </c>
      <c r="G192" t="s">
        <v>10</v>
      </c>
      <c r="H192" t="s">
        <v>11</v>
      </c>
      <c r="I192" t="s">
        <v>222</v>
      </c>
    </row>
    <row r="193" spans="1:8" x14ac:dyDescent="0.15">
      <c r="C193" s="1"/>
    </row>
    <row r="194" spans="1:8" x14ac:dyDescent="0.15">
      <c r="B194" s="66"/>
      <c r="D194" s="1"/>
      <c r="H194" s="22"/>
    </row>
    <row r="195" spans="1:8" x14ac:dyDescent="0.15">
      <c r="B195" s="77"/>
      <c r="C195" s="22"/>
      <c r="D195" s="53"/>
      <c r="E195" s="22"/>
      <c r="F195" s="22"/>
      <c r="G195" s="22"/>
      <c r="H195" s="22"/>
    </row>
    <row r="196" spans="1:8" x14ac:dyDescent="0.15">
      <c r="B196" s="77"/>
      <c r="C196" s="22"/>
      <c r="D196" s="53"/>
      <c r="E196" s="22"/>
      <c r="F196" s="22"/>
      <c r="G196" s="22"/>
      <c r="H196" s="22"/>
    </row>
    <row r="197" spans="1:8" x14ac:dyDescent="0.15">
      <c r="B197" s="77"/>
      <c r="C197" s="22"/>
      <c r="D197" s="53"/>
      <c r="E197" s="22"/>
      <c r="F197" s="22"/>
      <c r="G197" s="22"/>
      <c r="H197" s="22"/>
    </row>
    <row r="198" spans="1:8" x14ac:dyDescent="0.15">
      <c r="B198" s="66"/>
      <c r="D198" s="1"/>
    </row>
    <row r="199" spans="1:8" x14ac:dyDescent="0.15">
      <c r="B199" s="66"/>
      <c r="D199" s="1"/>
    </row>
    <row r="200" spans="1:8" x14ac:dyDescent="0.15">
      <c r="B200" s="66"/>
      <c r="D200" s="1"/>
    </row>
    <row r="201" spans="1:8" x14ac:dyDescent="0.15">
      <c r="B201" s="66"/>
      <c r="D201" s="1"/>
    </row>
    <row r="202" spans="1:8" x14ac:dyDescent="0.15">
      <c r="B202" s="66"/>
      <c r="D202" s="1"/>
    </row>
    <row r="203" spans="1:8" x14ac:dyDescent="0.15">
      <c r="B203" s="66"/>
      <c r="D203" s="1"/>
    </row>
    <row r="204" spans="1:8" x14ac:dyDescent="0.15">
      <c r="B204" s="66"/>
      <c r="D204" s="1"/>
    </row>
    <row r="205" spans="1:8" x14ac:dyDescent="0.15">
      <c r="B205" s="66"/>
      <c r="D205" s="1"/>
    </row>
    <row r="206" spans="1:8" x14ac:dyDescent="0.15">
      <c r="B206" s="66"/>
      <c r="D206" s="1"/>
    </row>
    <row r="207" spans="1:8" x14ac:dyDescent="0.15">
      <c r="B207" s="66"/>
      <c r="D207" s="1"/>
    </row>
    <row r="208" spans="1:8" x14ac:dyDescent="0.15">
      <c r="B208" s="66"/>
      <c r="D208" s="1"/>
    </row>
    <row r="209" spans="2:4" x14ac:dyDescent="0.15">
      <c r="B209" s="66"/>
      <c r="D209" s="1"/>
    </row>
    <row r="210" spans="2:4" x14ac:dyDescent="0.15">
      <c r="B210" s="66"/>
      <c r="D210" s="1"/>
    </row>
    <row r="211" spans="2:4" x14ac:dyDescent="0.15">
      <c r="B211" s="66"/>
      <c r="D211" s="1"/>
    </row>
    <row r="212" spans="2:4" x14ac:dyDescent="0.15">
      <c r="B212" s="66"/>
      <c r="D212" s="1"/>
    </row>
    <row r="213" spans="2:4" x14ac:dyDescent="0.15">
      <c r="B213" s="66"/>
      <c r="D213" s="1"/>
    </row>
    <row r="214" spans="2:4" x14ac:dyDescent="0.15">
      <c r="B214" s="66"/>
    </row>
    <row r="215" spans="2:4" x14ac:dyDescent="0.15">
      <c r="B215" s="66"/>
      <c r="D215" s="1"/>
    </row>
    <row r="216" spans="2:4" x14ac:dyDescent="0.15">
      <c r="B216" s="66"/>
      <c r="D216" s="1"/>
    </row>
    <row r="217" spans="2:4" x14ac:dyDescent="0.15">
      <c r="B217" s="66"/>
      <c r="D217" s="1"/>
    </row>
    <row r="218" spans="2:4" x14ac:dyDescent="0.15">
      <c r="B218" s="66"/>
      <c r="D218" s="1"/>
    </row>
    <row r="219" spans="2:4" x14ac:dyDescent="0.15">
      <c r="B219" s="66"/>
      <c r="D219" s="1"/>
    </row>
    <row r="220" spans="2:4" x14ac:dyDescent="0.15">
      <c r="B220" s="66"/>
      <c r="D220" s="1"/>
    </row>
    <row r="221" spans="2:4" x14ac:dyDescent="0.15">
      <c r="B221" s="66"/>
      <c r="D221" s="1"/>
    </row>
    <row r="222" spans="2:4" x14ac:dyDescent="0.15">
      <c r="B222" s="66"/>
      <c r="D222" s="1"/>
    </row>
    <row r="223" spans="2:4" x14ac:dyDescent="0.15">
      <c r="B223" s="66"/>
      <c r="D223" s="1"/>
    </row>
    <row r="224" spans="2:4" x14ac:dyDescent="0.15">
      <c r="B224" s="66"/>
      <c r="D224" s="1"/>
    </row>
    <row r="225" spans="2:4" x14ac:dyDescent="0.15">
      <c r="B225" s="66"/>
      <c r="D225" s="1"/>
    </row>
    <row r="226" spans="2:4" x14ac:dyDescent="0.15">
      <c r="B226" s="66"/>
      <c r="D226" s="1"/>
    </row>
    <row r="227" spans="2:4" x14ac:dyDescent="0.15">
      <c r="B227" s="66"/>
      <c r="D227" s="1"/>
    </row>
    <row r="228" spans="2:4" x14ac:dyDescent="0.15">
      <c r="B228" s="66"/>
      <c r="D228" s="1"/>
    </row>
    <row r="229" spans="2:4" x14ac:dyDescent="0.15">
      <c r="B229" s="66"/>
      <c r="D229" s="1"/>
    </row>
    <row r="230" spans="2:4" x14ac:dyDescent="0.15">
      <c r="B230" s="66"/>
      <c r="D230" s="1"/>
    </row>
    <row r="231" spans="2:4" x14ac:dyDescent="0.15">
      <c r="B231" s="66"/>
      <c r="D231" s="1"/>
    </row>
    <row r="232" spans="2:4" x14ac:dyDescent="0.15">
      <c r="B232" s="66"/>
    </row>
    <row r="233" spans="2:4" x14ac:dyDescent="0.15">
      <c r="B233" s="66"/>
    </row>
    <row r="234" spans="2:4" x14ac:dyDescent="0.15">
      <c r="B234" s="66"/>
    </row>
    <row r="235" spans="2:4" x14ac:dyDescent="0.15">
      <c r="B235" s="66"/>
    </row>
    <row r="236" spans="2:4" x14ac:dyDescent="0.15">
      <c r="B236" s="66"/>
    </row>
    <row r="237" spans="2:4" x14ac:dyDescent="0.15">
      <c r="B237" s="66"/>
    </row>
    <row r="238" spans="2:4" x14ac:dyDescent="0.15">
      <c r="B238" s="66"/>
    </row>
    <row r="239" spans="2:4" x14ac:dyDescent="0.15">
      <c r="B239" s="66"/>
      <c r="D239" s="1"/>
    </row>
    <row r="240" spans="2:4" x14ac:dyDescent="0.15">
      <c r="B240" s="66"/>
    </row>
    <row r="241" spans="2:4" x14ac:dyDescent="0.15">
      <c r="B241" s="66"/>
      <c r="D241" s="1"/>
    </row>
  </sheetData>
  <autoFilter ref="A3:I90"/>
  <sortState ref="A4:N90">
    <sortCondition ref="I4:I90"/>
    <sortCondition ref="B4:B90"/>
  </sortState>
  <phoneticPr fontId="3"/>
  <pageMargins left="0.7" right="0.7" top="0.75" bottom="0.75" header="0.3" footer="0.3"/>
  <pageSetup paperSize="9" orientation="portrait" horizontalDpi="0" verticalDpi="0"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H61"/>
  <sheetViews>
    <sheetView topLeftCell="A43" workbookViewId="0">
      <selection activeCell="B1" sqref="B1"/>
    </sheetView>
  </sheetViews>
  <sheetFormatPr defaultRowHeight="13.5" x14ac:dyDescent="0.15"/>
  <cols>
    <col min="2" max="2" width="9.625" bestFit="1" customWidth="1"/>
    <col min="3" max="3" width="31.625" bestFit="1" customWidth="1"/>
    <col min="4" max="4" width="7.875" bestFit="1" customWidth="1"/>
    <col min="6" max="6" width="12.125" bestFit="1" customWidth="1"/>
    <col min="7" max="7" width="16.125" bestFit="1" customWidth="1"/>
    <col min="8" max="8" width="14.25" bestFit="1" customWidth="1"/>
  </cols>
  <sheetData>
    <row r="1" spans="2:8" ht="17.25" x14ac:dyDescent="0.2">
      <c r="B1" t="s">
        <v>224</v>
      </c>
    </row>
    <row r="3" spans="2:8" x14ac:dyDescent="0.15">
      <c r="B3" s="79" t="s">
        <v>6</v>
      </c>
      <c r="C3" s="79" t="s">
        <v>5</v>
      </c>
      <c r="D3" s="79" t="s">
        <v>4</v>
      </c>
      <c r="E3" s="79" t="s">
        <v>3</v>
      </c>
      <c r="F3" s="79" t="s">
        <v>9</v>
      </c>
      <c r="G3" s="79" t="s">
        <v>10</v>
      </c>
      <c r="H3" s="79" t="s">
        <v>11</v>
      </c>
    </row>
    <row r="4" spans="2:8" x14ac:dyDescent="0.15">
      <c r="B4" s="66" t="s">
        <v>143</v>
      </c>
      <c r="C4" t="s">
        <v>179</v>
      </c>
      <c r="D4" s="1">
        <v>-1000</v>
      </c>
      <c r="E4" t="s">
        <v>181</v>
      </c>
      <c r="F4" t="s">
        <v>2</v>
      </c>
      <c r="G4" t="s">
        <v>1</v>
      </c>
      <c r="H4" s="22"/>
    </row>
    <row r="5" spans="2:8" x14ac:dyDescent="0.15">
      <c r="B5" s="77" t="s">
        <v>143</v>
      </c>
      <c r="C5" s="22" t="s">
        <v>178</v>
      </c>
      <c r="D5" s="53">
        <v>-1000</v>
      </c>
      <c r="E5" s="22" t="s">
        <v>183</v>
      </c>
      <c r="F5" s="22" t="s">
        <v>22</v>
      </c>
      <c r="G5" s="22" t="s">
        <v>23</v>
      </c>
      <c r="H5" s="22"/>
    </row>
    <row r="6" spans="2:8" x14ac:dyDescent="0.15">
      <c r="B6" s="77" t="s">
        <v>144</v>
      </c>
      <c r="C6" s="22" t="s">
        <v>179</v>
      </c>
      <c r="D6" s="53">
        <v>-1000</v>
      </c>
      <c r="E6" s="22" t="s">
        <v>181</v>
      </c>
      <c r="F6" s="22" t="s">
        <v>2</v>
      </c>
      <c r="G6" s="22" t="s">
        <v>1</v>
      </c>
      <c r="H6" s="22"/>
    </row>
    <row r="7" spans="2:8" x14ac:dyDescent="0.15">
      <c r="B7" s="77" t="s">
        <v>145</v>
      </c>
      <c r="C7" s="22" t="s">
        <v>188</v>
      </c>
      <c r="D7" s="53">
        <v>-1000</v>
      </c>
      <c r="E7" s="22" t="s">
        <v>182</v>
      </c>
      <c r="F7" s="22" t="s">
        <v>2</v>
      </c>
      <c r="G7" s="22" t="s">
        <v>2</v>
      </c>
      <c r="H7" s="22"/>
    </row>
    <row r="8" spans="2:8" x14ac:dyDescent="0.15">
      <c r="B8" s="66" t="s">
        <v>146</v>
      </c>
      <c r="C8" t="s">
        <v>147</v>
      </c>
      <c r="D8" s="1">
        <v>-10000</v>
      </c>
      <c r="E8" t="s">
        <v>21</v>
      </c>
    </row>
    <row r="9" spans="2:8" x14ac:dyDescent="0.15">
      <c r="B9" s="66"/>
      <c r="D9" s="1" t="s">
        <v>148</v>
      </c>
      <c r="E9" t="s">
        <v>46</v>
      </c>
    </row>
    <row r="10" spans="2:8" x14ac:dyDescent="0.15">
      <c r="B10" s="66" t="s">
        <v>146</v>
      </c>
      <c r="C10" t="s">
        <v>179</v>
      </c>
      <c r="D10" s="1">
        <v>-3000</v>
      </c>
      <c r="E10" t="s">
        <v>181</v>
      </c>
      <c r="F10" t="s">
        <v>2</v>
      </c>
      <c r="G10" t="s">
        <v>1</v>
      </c>
    </row>
    <row r="11" spans="2:8" x14ac:dyDescent="0.15">
      <c r="B11" s="66" t="s">
        <v>150</v>
      </c>
      <c r="C11" t="s">
        <v>151</v>
      </c>
      <c r="D11" s="1">
        <v>-20000</v>
      </c>
      <c r="E11" t="s">
        <v>21</v>
      </c>
    </row>
    <row r="12" spans="2:8" x14ac:dyDescent="0.15">
      <c r="B12" s="66"/>
      <c r="D12" s="1" t="s">
        <v>148</v>
      </c>
      <c r="E12" t="s">
        <v>202</v>
      </c>
    </row>
    <row r="13" spans="2:8" x14ac:dyDescent="0.15">
      <c r="B13" s="66" t="s">
        <v>150</v>
      </c>
      <c r="C13" t="s">
        <v>180</v>
      </c>
      <c r="D13" s="1">
        <v>-300</v>
      </c>
      <c r="E13" t="s">
        <v>181</v>
      </c>
      <c r="F13" t="s">
        <v>2</v>
      </c>
      <c r="G13" t="s">
        <v>1</v>
      </c>
    </row>
    <row r="14" spans="2:8" x14ac:dyDescent="0.15">
      <c r="B14" s="66" t="s">
        <v>150</v>
      </c>
      <c r="C14" t="s">
        <v>152</v>
      </c>
      <c r="D14" s="1">
        <v>-20000</v>
      </c>
      <c r="E14" s="22" t="s">
        <v>182</v>
      </c>
    </row>
    <row r="15" spans="2:8" x14ac:dyDescent="0.15">
      <c r="B15" s="66"/>
      <c r="D15" s="1" t="s">
        <v>148</v>
      </c>
      <c r="E15" t="s">
        <v>21</v>
      </c>
    </row>
    <row r="16" spans="2:8" x14ac:dyDescent="0.15">
      <c r="B16" s="66" t="s">
        <v>153</v>
      </c>
      <c r="C16" t="s">
        <v>190</v>
      </c>
      <c r="D16" s="1">
        <v>-4000</v>
      </c>
      <c r="E16" t="s">
        <v>183</v>
      </c>
      <c r="F16" t="s">
        <v>55</v>
      </c>
      <c r="G16" t="s">
        <v>70</v>
      </c>
    </row>
    <row r="17" spans="2:7" x14ac:dyDescent="0.15">
      <c r="B17" s="66" t="s">
        <v>153</v>
      </c>
      <c r="C17" t="s">
        <v>201</v>
      </c>
      <c r="D17" s="1" t="s">
        <v>154</v>
      </c>
      <c r="E17" t="s">
        <v>21</v>
      </c>
      <c r="F17" t="s">
        <v>2</v>
      </c>
      <c r="G17" t="s">
        <v>2</v>
      </c>
    </row>
    <row r="18" spans="2:7" x14ac:dyDescent="0.15">
      <c r="B18" s="66" t="s">
        <v>153</v>
      </c>
      <c r="C18" t="s">
        <v>199</v>
      </c>
      <c r="D18" s="1" t="s">
        <v>155</v>
      </c>
      <c r="E18" t="s">
        <v>21</v>
      </c>
      <c r="F18" t="s">
        <v>2</v>
      </c>
      <c r="G18" t="s">
        <v>2</v>
      </c>
    </row>
    <row r="19" spans="2:7" x14ac:dyDescent="0.15">
      <c r="B19" s="66" t="s">
        <v>156</v>
      </c>
      <c r="C19" t="s">
        <v>180</v>
      </c>
      <c r="D19" s="1">
        <v>-250</v>
      </c>
      <c r="E19" t="s">
        <v>181</v>
      </c>
      <c r="F19" t="s">
        <v>2</v>
      </c>
      <c r="G19" t="s">
        <v>1</v>
      </c>
    </row>
    <row r="20" spans="2:7" x14ac:dyDescent="0.15">
      <c r="B20" s="66" t="s">
        <v>156</v>
      </c>
      <c r="C20" t="s">
        <v>197</v>
      </c>
      <c r="D20" s="1" t="s">
        <v>157</v>
      </c>
      <c r="E20" t="s">
        <v>21</v>
      </c>
      <c r="F20" t="s">
        <v>2</v>
      </c>
      <c r="G20" t="s">
        <v>2</v>
      </c>
    </row>
    <row r="21" spans="2:7" x14ac:dyDescent="0.15">
      <c r="B21" s="66" t="s">
        <v>158</v>
      </c>
      <c r="C21" t="s">
        <v>179</v>
      </c>
      <c r="D21" s="1">
        <v>-3333</v>
      </c>
      <c r="E21" t="s">
        <v>181</v>
      </c>
      <c r="F21" t="s">
        <v>2</v>
      </c>
      <c r="G21" t="s">
        <v>1</v>
      </c>
    </row>
    <row r="22" spans="2:7" x14ac:dyDescent="0.15">
      <c r="B22" s="66" t="s">
        <v>158</v>
      </c>
      <c r="C22" t="s">
        <v>36</v>
      </c>
      <c r="D22" s="1">
        <v>100</v>
      </c>
      <c r="E22" t="s">
        <v>183</v>
      </c>
      <c r="F22" t="s">
        <v>15</v>
      </c>
      <c r="G22" t="s">
        <v>17</v>
      </c>
    </row>
    <row r="23" spans="2:7" x14ac:dyDescent="0.15">
      <c r="B23" s="66" t="s">
        <v>159</v>
      </c>
      <c r="C23" t="s">
        <v>180</v>
      </c>
      <c r="D23" s="1">
        <v>-400</v>
      </c>
      <c r="E23" t="s">
        <v>181</v>
      </c>
      <c r="F23" t="s">
        <v>2</v>
      </c>
      <c r="G23" t="s">
        <v>1</v>
      </c>
    </row>
    <row r="24" spans="2:7" x14ac:dyDescent="0.15">
      <c r="B24" s="66" t="s">
        <v>160</v>
      </c>
      <c r="C24" t="s">
        <v>179</v>
      </c>
      <c r="D24" s="1">
        <v>-400</v>
      </c>
      <c r="E24" t="s">
        <v>181</v>
      </c>
      <c r="F24" t="s">
        <v>2</v>
      </c>
      <c r="G24" t="s">
        <v>1</v>
      </c>
    </row>
    <row r="25" spans="2:7" x14ac:dyDescent="0.15">
      <c r="B25" s="66" t="s">
        <v>160</v>
      </c>
      <c r="C25" t="s">
        <v>180</v>
      </c>
      <c r="D25" s="1">
        <v>-400</v>
      </c>
      <c r="E25" t="s">
        <v>181</v>
      </c>
      <c r="F25" t="s">
        <v>2</v>
      </c>
      <c r="G25" t="s">
        <v>1</v>
      </c>
    </row>
    <row r="26" spans="2:7" x14ac:dyDescent="0.15">
      <c r="B26" s="66" t="s">
        <v>161</v>
      </c>
      <c r="C26" t="s">
        <v>179</v>
      </c>
      <c r="D26" s="1">
        <v>-400</v>
      </c>
      <c r="E26" t="s">
        <v>181</v>
      </c>
      <c r="F26" t="s">
        <v>2</v>
      </c>
      <c r="G26" t="s">
        <v>1</v>
      </c>
    </row>
    <row r="27" spans="2:7" x14ac:dyDescent="0.15">
      <c r="B27" s="66" t="s">
        <v>161</v>
      </c>
      <c r="C27" t="s">
        <v>180</v>
      </c>
      <c r="D27" s="1">
        <v>-400</v>
      </c>
      <c r="E27" t="s">
        <v>181</v>
      </c>
      <c r="F27" t="s">
        <v>2</v>
      </c>
      <c r="G27" t="s">
        <v>1</v>
      </c>
    </row>
    <row r="28" spans="2:7" x14ac:dyDescent="0.15">
      <c r="B28" s="66" t="s">
        <v>162</v>
      </c>
      <c r="C28" t="s">
        <v>180</v>
      </c>
      <c r="D28" s="1">
        <v>-400</v>
      </c>
      <c r="E28" t="s">
        <v>181</v>
      </c>
      <c r="F28" t="s">
        <v>2</v>
      </c>
      <c r="G28" t="s">
        <v>1</v>
      </c>
    </row>
    <row r="29" spans="2:7" x14ac:dyDescent="0.15">
      <c r="B29" s="66" t="s">
        <v>163</v>
      </c>
      <c r="C29" t="s">
        <v>151</v>
      </c>
      <c r="D29" s="1">
        <v>-10000</v>
      </c>
      <c r="E29" t="s">
        <v>21</v>
      </c>
    </row>
    <row r="30" spans="2:7" x14ac:dyDescent="0.15">
      <c r="B30" s="66"/>
      <c r="D30" s="1" t="s">
        <v>148</v>
      </c>
      <c r="E30" t="s">
        <v>181</v>
      </c>
    </row>
    <row r="31" spans="2:7" x14ac:dyDescent="0.15">
      <c r="B31" s="66" t="s">
        <v>163</v>
      </c>
      <c r="C31" t="s">
        <v>179</v>
      </c>
      <c r="D31" s="1">
        <v>-4000</v>
      </c>
      <c r="E31" t="s">
        <v>181</v>
      </c>
      <c r="F31" t="s">
        <v>2</v>
      </c>
      <c r="G31" t="s">
        <v>1</v>
      </c>
    </row>
    <row r="32" spans="2:7" x14ac:dyDescent="0.15">
      <c r="B32" s="66" t="s">
        <v>163</v>
      </c>
      <c r="C32" t="s">
        <v>180</v>
      </c>
      <c r="D32">
        <v>-1000</v>
      </c>
      <c r="E32" t="s">
        <v>181</v>
      </c>
      <c r="F32" t="s">
        <v>2</v>
      </c>
      <c r="G32" t="s">
        <v>1</v>
      </c>
    </row>
    <row r="33" spans="2:7" x14ac:dyDescent="0.15">
      <c r="B33" s="66" t="s">
        <v>164</v>
      </c>
      <c r="C33" t="s">
        <v>12</v>
      </c>
      <c r="D33" s="1">
        <v>-1000</v>
      </c>
      <c r="E33" t="s">
        <v>182</v>
      </c>
      <c r="F33" t="s">
        <v>13</v>
      </c>
      <c r="G33" t="s">
        <v>14</v>
      </c>
    </row>
    <row r="34" spans="2:7" x14ac:dyDescent="0.15">
      <c r="B34" s="66" t="s">
        <v>164</v>
      </c>
      <c r="C34" t="s">
        <v>186</v>
      </c>
      <c r="D34" s="1">
        <v>200000</v>
      </c>
      <c r="E34" t="s">
        <v>183</v>
      </c>
      <c r="F34" t="s">
        <v>15</v>
      </c>
      <c r="G34" t="s">
        <v>186</v>
      </c>
    </row>
    <row r="35" spans="2:7" x14ac:dyDescent="0.15">
      <c r="B35" s="66" t="s">
        <v>165</v>
      </c>
      <c r="C35" t="s">
        <v>179</v>
      </c>
      <c r="D35" s="1">
        <v>-1000</v>
      </c>
      <c r="E35" t="s">
        <v>181</v>
      </c>
      <c r="F35" t="s">
        <v>2</v>
      </c>
      <c r="G35" t="s">
        <v>1</v>
      </c>
    </row>
    <row r="36" spans="2:7" x14ac:dyDescent="0.15">
      <c r="B36" s="66" t="s">
        <v>165</v>
      </c>
      <c r="C36" t="s">
        <v>180</v>
      </c>
      <c r="D36" s="1">
        <v>-1000</v>
      </c>
      <c r="E36" t="s">
        <v>181</v>
      </c>
      <c r="F36" t="s">
        <v>2</v>
      </c>
      <c r="G36" t="s">
        <v>1</v>
      </c>
    </row>
    <row r="37" spans="2:7" x14ac:dyDescent="0.15">
      <c r="B37" t="s">
        <v>166</v>
      </c>
      <c r="C37" t="s">
        <v>179</v>
      </c>
      <c r="D37" s="1">
        <v>-1000</v>
      </c>
      <c r="E37" t="s">
        <v>181</v>
      </c>
      <c r="F37" t="s">
        <v>2</v>
      </c>
      <c r="G37" t="s">
        <v>1</v>
      </c>
    </row>
    <row r="38" spans="2:7" x14ac:dyDescent="0.15">
      <c r="B38" t="s">
        <v>166</v>
      </c>
      <c r="C38" t="s">
        <v>184</v>
      </c>
      <c r="D38" s="1">
        <v>-1000</v>
      </c>
      <c r="E38" t="s">
        <v>181</v>
      </c>
      <c r="F38" t="s">
        <v>60</v>
      </c>
      <c r="G38" t="s">
        <v>71</v>
      </c>
    </row>
    <row r="39" spans="2:7" x14ac:dyDescent="0.15">
      <c r="B39" t="s">
        <v>166</v>
      </c>
      <c r="C39" t="s">
        <v>192</v>
      </c>
      <c r="D39" s="1">
        <v>-1000</v>
      </c>
      <c r="E39" t="s">
        <v>183</v>
      </c>
      <c r="F39" t="s">
        <v>7</v>
      </c>
      <c r="G39" t="s">
        <v>57</v>
      </c>
    </row>
    <row r="40" spans="2:7" x14ac:dyDescent="0.15">
      <c r="B40" t="s">
        <v>167</v>
      </c>
      <c r="C40" t="s">
        <v>180</v>
      </c>
      <c r="D40" s="1">
        <v>-1000</v>
      </c>
      <c r="E40" t="s">
        <v>181</v>
      </c>
      <c r="F40" t="s">
        <v>2</v>
      </c>
      <c r="G40" t="s">
        <v>1</v>
      </c>
    </row>
    <row r="41" spans="2:7" x14ac:dyDescent="0.15">
      <c r="B41" t="s">
        <v>167</v>
      </c>
      <c r="C41" t="s">
        <v>179</v>
      </c>
      <c r="D41" s="1">
        <v>-1000</v>
      </c>
      <c r="E41" t="s">
        <v>181</v>
      </c>
      <c r="F41" t="s">
        <v>2</v>
      </c>
      <c r="G41" t="s">
        <v>1</v>
      </c>
    </row>
    <row r="42" spans="2:7" x14ac:dyDescent="0.15">
      <c r="B42" t="s">
        <v>167</v>
      </c>
      <c r="C42" t="s">
        <v>193</v>
      </c>
      <c r="D42" s="1">
        <v>-500</v>
      </c>
      <c r="E42" t="s">
        <v>182</v>
      </c>
      <c r="F42" t="s">
        <v>7</v>
      </c>
      <c r="G42" t="s">
        <v>57</v>
      </c>
    </row>
    <row r="43" spans="2:7" x14ac:dyDescent="0.15">
      <c r="B43" t="s">
        <v>168</v>
      </c>
      <c r="C43" t="s">
        <v>180</v>
      </c>
      <c r="D43" s="1">
        <v>-1000</v>
      </c>
      <c r="E43" t="s">
        <v>181</v>
      </c>
      <c r="F43" t="s">
        <v>2</v>
      </c>
      <c r="G43" t="s">
        <v>1</v>
      </c>
    </row>
    <row r="44" spans="2:7" x14ac:dyDescent="0.15">
      <c r="B44" t="s">
        <v>168</v>
      </c>
      <c r="C44" t="s">
        <v>180</v>
      </c>
      <c r="D44" s="1">
        <v>-1000</v>
      </c>
      <c r="E44" t="s">
        <v>181</v>
      </c>
      <c r="F44" t="s">
        <v>2</v>
      </c>
      <c r="G44" t="s">
        <v>1</v>
      </c>
    </row>
    <row r="45" spans="2:7" x14ac:dyDescent="0.15">
      <c r="B45" t="s">
        <v>168</v>
      </c>
      <c r="C45" t="s">
        <v>18</v>
      </c>
      <c r="D45" s="1">
        <v>-1000</v>
      </c>
      <c r="E45" t="s">
        <v>183</v>
      </c>
      <c r="F45" t="s">
        <v>13</v>
      </c>
      <c r="G45" t="s">
        <v>19</v>
      </c>
    </row>
    <row r="46" spans="2:7" x14ac:dyDescent="0.15">
      <c r="B46" t="s">
        <v>169</v>
      </c>
      <c r="C46" t="s">
        <v>179</v>
      </c>
      <c r="D46" s="1">
        <v>-1000</v>
      </c>
      <c r="E46" t="s">
        <v>181</v>
      </c>
      <c r="F46" t="s">
        <v>2</v>
      </c>
      <c r="G46" t="s">
        <v>1</v>
      </c>
    </row>
    <row r="47" spans="2:7" x14ac:dyDescent="0.15">
      <c r="B47" t="s">
        <v>169</v>
      </c>
      <c r="C47" t="s">
        <v>37</v>
      </c>
      <c r="D47" s="1">
        <v>-1000</v>
      </c>
      <c r="E47" t="s">
        <v>182</v>
      </c>
      <c r="F47" t="s">
        <v>13</v>
      </c>
      <c r="G47" t="s">
        <v>38</v>
      </c>
    </row>
    <row r="48" spans="2:7" x14ac:dyDescent="0.15">
      <c r="B48" t="s">
        <v>170</v>
      </c>
      <c r="C48" t="s">
        <v>180</v>
      </c>
      <c r="D48" s="1">
        <v>-1000</v>
      </c>
      <c r="E48" t="s">
        <v>181</v>
      </c>
      <c r="F48" t="s">
        <v>2</v>
      </c>
      <c r="G48" t="s">
        <v>1</v>
      </c>
    </row>
    <row r="49" spans="2:7" x14ac:dyDescent="0.15">
      <c r="B49" t="s">
        <v>170</v>
      </c>
      <c r="C49" t="s">
        <v>179</v>
      </c>
      <c r="D49" s="1">
        <v>-1000</v>
      </c>
      <c r="E49" t="s">
        <v>181</v>
      </c>
      <c r="F49" t="s">
        <v>2</v>
      </c>
      <c r="G49" t="s">
        <v>1</v>
      </c>
    </row>
    <row r="50" spans="2:7" x14ac:dyDescent="0.15">
      <c r="B50" t="s">
        <v>171</v>
      </c>
      <c r="C50" t="s">
        <v>151</v>
      </c>
      <c r="D50" s="1">
        <v>-20000</v>
      </c>
      <c r="E50" t="s">
        <v>21</v>
      </c>
    </row>
    <row r="51" spans="2:7" x14ac:dyDescent="0.15">
      <c r="D51" t="s">
        <v>148</v>
      </c>
      <c r="E51" t="s">
        <v>181</v>
      </c>
    </row>
    <row r="52" spans="2:7" x14ac:dyDescent="0.15">
      <c r="B52" t="s">
        <v>171</v>
      </c>
      <c r="C52" t="s">
        <v>180</v>
      </c>
      <c r="D52">
        <v>-1000</v>
      </c>
      <c r="E52" t="s">
        <v>181</v>
      </c>
      <c r="F52" t="s">
        <v>2</v>
      </c>
      <c r="G52" t="s">
        <v>1</v>
      </c>
    </row>
    <row r="53" spans="2:7" x14ac:dyDescent="0.15">
      <c r="B53" t="s">
        <v>171</v>
      </c>
      <c r="C53" t="s">
        <v>195</v>
      </c>
      <c r="D53">
        <v>-1000</v>
      </c>
      <c r="E53" t="s">
        <v>183</v>
      </c>
      <c r="F53" t="s">
        <v>7</v>
      </c>
      <c r="G53" t="s">
        <v>57</v>
      </c>
    </row>
    <row r="54" spans="2:7" x14ac:dyDescent="0.15">
      <c r="B54" t="s">
        <v>172</v>
      </c>
      <c r="C54" t="s">
        <v>180</v>
      </c>
      <c r="D54">
        <v>-1000</v>
      </c>
      <c r="E54" t="s">
        <v>181</v>
      </c>
      <c r="F54" t="s">
        <v>2</v>
      </c>
      <c r="G54" t="s">
        <v>1</v>
      </c>
    </row>
    <row r="55" spans="2:7" x14ac:dyDescent="0.15">
      <c r="B55" t="s">
        <v>173</v>
      </c>
      <c r="C55" t="s">
        <v>179</v>
      </c>
      <c r="D55">
        <v>-1000</v>
      </c>
      <c r="E55" t="s">
        <v>181</v>
      </c>
      <c r="F55" t="s">
        <v>2</v>
      </c>
      <c r="G55" t="s">
        <v>1</v>
      </c>
    </row>
    <row r="56" spans="2:7" x14ac:dyDescent="0.15">
      <c r="B56" t="s">
        <v>173</v>
      </c>
      <c r="C56" t="s">
        <v>180</v>
      </c>
      <c r="D56">
        <v>-1000</v>
      </c>
      <c r="E56" t="s">
        <v>181</v>
      </c>
      <c r="F56" t="s">
        <v>2</v>
      </c>
      <c r="G56" t="s">
        <v>1</v>
      </c>
    </row>
    <row r="57" spans="2:7" x14ac:dyDescent="0.15">
      <c r="B57" t="s">
        <v>174</v>
      </c>
      <c r="C57" t="s">
        <v>179</v>
      </c>
      <c r="D57">
        <v>-1000</v>
      </c>
      <c r="E57" t="s">
        <v>181</v>
      </c>
      <c r="F57" t="s">
        <v>2</v>
      </c>
      <c r="G57" t="s">
        <v>1</v>
      </c>
    </row>
    <row r="58" spans="2:7" x14ac:dyDescent="0.15">
      <c r="B58" t="s">
        <v>175</v>
      </c>
      <c r="C58" t="s">
        <v>201</v>
      </c>
      <c r="D58" t="s">
        <v>149</v>
      </c>
      <c r="E58" t="s">
        <v>21</v>
      </c>
      <c r="F58" t="s">
        <v>2</v>
      </c>
      <c r="G58" t="s">
        <v>2</v>
      </c>
    </row>
    <row r="59" spans="2:7" x14ac:dyDescent="0.15">
      <c r="B59" t="s">
        <v>176</v>
      </c>
      <c r="C59" t="s">
        <v>180</v>
      </c>
      <c r="D59" s="1">
        <v>-1000</v>
      </c>
      <c r="E59" t="s">
        <v>181</v>
      </c>
      <c r="F59" t="s">
        <v>2</v>
      </c>
      <c r="G59" t="s">
        <v>1</v>
      </c>
    </row>
    <row r="60" spans="2:7" x14ac:dyDescent="0.15">
      <c r="B60" t="s">
        <v>176</v>
      </c>
      <c r="C60" t="s">
        <v>180</v>
      </c>
      <c r="D60">
        <v>-500</v>
      </c>
      <c r="E60" t="s">
        <v>181</v>
      </c>
      <c r="F60" t="s">
        <v>2</v>
      </c>
      <c r="G60" t="s">
        <v>1</v>
      </c>
    </row>
    <row r="61" spans="2:7" x14ac:dyDescent="0.15">
      <c r="B61" t="s">
        <v>177</v>
      </c>
      <c r="C61" t="s">
        <v>140</v>
      </c>
      <c r="D61" s="1">
        <v>-55000</v>
      </c>
      <c r="E61" t="s">
        <v>183</v>
      </c>
      <c r="F61" t="s">
        <v>16</v>
      </c>
      <c r="G61" t="s">
        <v>16</v>
      </c>
    </row>
  </sheetData>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3.5" x14ac:dyDescent="0.15"/>
  <sheetData/>
  <phoneticPr fontId="3"/>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4"/>
  <sheetViews>
    <sheetView workbookViewId="0">
      <selection activeCell="A5" sqref="A5"/>
    </sheetView>
  </sheetViews>
  <sheetFormatPr defaultRowHeight="13.5" x14ac:dyDescent="0.15"/>
  <sheetData>
    <row r="1" spans="1:1" x14ac:dyDescent="0.15">
      <c r="A1" t="s">
        <v>218</v>
      </c>
    </row>
    <row r="2" spans="1:1" x14ac:dyDescent="0.15">
      <c r="A2" t="s">
        <v>219</v>
      </c>
    </row>
    <row r="3" spans="1:1" x14ac:dyDescent="0.15">
      <c r="A3" t="s">
        <v>220</v>
      </c>
    </row>
    <row r="4" spans="1:1" x14ac:dyDescent="0.15">
      <c r="A4" t="s">
        <v>221</v>
      </c>
    </row>
  </sheetData>
  <phoneticPr fontId="3"/>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221"/>
  <sheetViews>
    <sheetView topLeftCell="A91" workbookViewId="0">
      <selection activeCell="I16" sqref="I16"/>
    </sheetView>
  </sheetViews>
  <sheetFormatPr defaultRowHeight="13.5" x14ac:dyDescent="0.15"/>
  <sheetData>
    <row r="2" spans="1:1" x14ac:dyDescent="0.15">
      <c r="A2" t="s">
        <v>109</v>
      </c>
    </row>
    <row r="6" spans="1:1" x14ac:dyDescent="0.15">
      <c r="A6" t="s">
        <v>101</v>
      </c>
    </row>
    <row r="7" spans="1:1" x14ac:dyDescent="0.15">
      <c r="A7" t="s">
        <v>102</v>
      </c>
    </row>
    <row r="9" spans="1:1" x14ac:dyDescent="0.15">
      <c r="A9" t="s">
        <v>103</v>
      </c>
    </row>
    <row r="26" spans="1:1" x14ac:dyDescent="0.15">
      <c r="A26" t="s">
        <v>104</v>
      </c>
    </row>
    <row r="39" spans="1:1" x14ac:dyDescent="0.15">
      <c r="A39" t="s">
        <v>105</v>
      </c>
    </row>
    <row r="57" spans="1:1" x14ac:dyDescent="0.15">
      <c r="A57" t="s">
        <v>84</v>
      </c>
    </row>
    <row r="69" spans="1:1" x14ac:dyDescent="0.15">
      <c r="A69" t="s">
        <v>100</v>
      </c>
    </row>
    <row r="92" spans="1:1" x14ac:dyDescent="0.15">
      <c r="A92" t="s">
        <v>85</v>
      </c>
    </row>
    <row r="93" spans="1:1" x14ac:dyDescent="0.15">
      <c r="A93" t="s">
        <v>72</v>
      </c>
    </row>
    <row r="94" spans="1:1" x14ac:dyDescent="0.15">
      <c r="A94" t="s">
        <v>74</v>
      </c>
    </row>
    <row r="111" spans="1:1" x14ac:dyDescent="0.15">
      <c r="A111" t="s">
        <v>73</v>
      </c>
    </row>
    <row r="112" spans="1:1" x14ac:dyDescent="0.15">
      <c r="A112" t="s">
        <v>86</v>
      </c>
    </row>
    <row r="113" spans="1:1" x14ac:dyDescent="0.15">
      <c r="A113" t="s">
        <v>87</v>
      </c>
    </row>
    <row r="115" spans="1:1" ht="17.25" x14ac:dyDescent="0.2">
      <c r="A115" s="81" t="s">
        <v>225</v>
      </c>
    </row>
    <row r="118" spans="1:1" x14ac:dyDescent="0.15">
      <c r="A118" t="s">
        <v>82</v>
      </c>
    </row>
    <row r="120" spans="1:1" x14ac:dyDescent="0.15">
      <c r="A120" t="s">
        <v>94</v>
      </c>
    </row>
    <row r="121" spans="1:1" x14ac:dyDescent="0.15">
      <c r="A121" t="s">
        <v>93</v>
      </c>
    </row>
    <row r="147" spans="1:1" x14ac:dyDescent="0.15">
      <c r="A147" t="s">
        <v>99</v>
      </c>
    </row>
    <row r="151" spans="1:1" x14ac:dyDescent="0.15">
      <c r="A151" t="s">
        <v>83</v>
      </c>
    </row>
    <row r="159" spans="1:1" x14ac:dyDescent="0.15">
      <c r="A159" t="s">
        <v>88</v>
      </c>
    </row>
    <row r="160" spans="1:1" x14ac:dyDescent="0.15">
      <c r="A160" t="s">
        <v>89</v>
      </c>
    </row>
    <row r="164" spans="1:1" x14ac:dyDescent="0.15">
      <c r="A164" t="s">
        <v>90</v>
      </c>
    </row>
    <row r="165" spans="1:1" x14ac:dyDescent="0.15">
      <c r="A165" t="s">
        <v>91</v>
      </c>
    </row>
    <row r="166" spans="1:1" x14ac:dyDescent="0.15">
      <c r="A166" t="s">
        <v>92</v>
      </c>
    </row>
    <row r="167" spans="1:1" x14ac:dyDescent="0.15">
      <c r="A167" t="s">
        <v>98</v>
      </c>
    </row>
    <row r="196" spans="1:1" x14ac:dyDescent="0.15">
      <c r="A196" t="s">
        <v>95</v>
      </c>
    </row>
    <row r="198" spans="1:1" x14ac:dyDescent="0.15">
      <c r="A198" t="s">
        <v>96</v>
      </c>
    </row>
    <row r="200" spans="1:1" x14ac:dyDescent="0.15">
      <c r="A200" t="s">
        <v>97</v>
      </c>
    </row>
    <row r="202" spans="1:1" x14ac:dyDescent="0.15">
      <c r="A202" t="s">
        <v>205</v>
      </c>
    </row>
    <row r="221" spans="1:1" x14ac:dyDescent="0.15">
      <c r="A221" t="s">
        <v>206</v>
      </c>
    </row>
  </sheetData>
  <phoneticPr fontId="3"/>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91"/>
  <sheetViews>
    <sheetView topLeftCell="A31" workbookViewId="0">
      <selection activeCell="A55" sqref="A55"/>
    </sheetView>
  </sheetViews>
  <sheetFormatPr defaultRowHeight="13.5" x14ac:dyDescent="0.15"/>
  <cols>
    <col min="1" max="1" width="39.125" customWidth="1"/>
  </cols>
  <sheetData>
    <row r="2" spans="1:1" x14ac:dyDescent="0.15">
      <c r="A2" t="s">
        <v>112</v>
      </c>
    </row>
    <row r="4" spans="1:1" x14ac:dyDescent="0.15">
      <c r="A4" t="s">
        <v>114</v>
      </c>
    </row>
    <row r="5" spans="1:1" x14ac:dyDescent="0.15">
      <c r="A5" t="s">
        <v>113</v>
      </c>
    </row>
    <row r="6" spans="1:1" x14ac:dyDescent="0.15">
      <c r="A6" t="s">
        <v>115</v>
      </c>
    </row>
    <row r="8" spans="1:1" x14ac:dyDescent="0.15">
      <c r="A8" t="s">
        <v>117</v>
      </c>
    </row>
    <row r="9" spans="1:1" x14ac:dyDescent="0.15">
      <c r="A9" t="s">
        <v>116</v>
      </c>
    </row>
    <row r="14" spans="1:1" x14ac:dyDescent="0.15">
      <c r="A14" t="s">
        <v>110</v>
      </c>
    </row>
    <row r="17" spans="1:1" x14ac:dyDescent="0.15">
      <c r="A17" t="s">
        <v>106</v>
      </c>
    </row>
    <row r="18" spans="1:1" x14ac:dyDescent="0.15">
      <c r="A18" t="s">
        <v>107</v>
      </c>
    </row>
    <row r="19" spans="1:1" x14ac:dyDescent="0.15">
      <c r="A19" t="s">
        <v>108</v>
      </c>
    </row>
    <row r="20" spans="1:1" x14ac:dyDescent="0.15">
      <c r="A20" s="78" t="s">
        <v>120</v>
      </c>
    </row>
    <row r="24" spans="1:1" x14ac:dyDescent="0.15">
      <c r="A24" t="s">
        <v>111</v>
      </c>
    </row>
    <row r="26" spans="1:1" x14ac:dyDescent="0.15">
      <c r="A26" t="s">
        <v>118</v>
      </c>
    </row>
    <row r="27" spans="1:1" x14ac:dyDescent="0.15">
      <c r="A27" t="s">
        <v>119</v>
      </c>
    </row>
    <row r="50" spans="1:2" x14ac:dyDescent="0.15">
      <c r="A50" s="78" t="s">
        <v>121</v>
      </c>
    </row>
    <row r="51" spans="1:2" x14ac:dyDescent="0.15">
      <c r="A51" t="s">
        <v>122</v>
      </c>
    </row>
    <row r="53" spans="1:2" x14ac:dyDescent="0.15">
      <c r="A53" s="78" t="s">
        <v>123</v>
      </c>
    </row>
    <row r="55" spans="1:2" x14ac:dyDescent="0.15">
      <c r="A55" t="s">
        <v>142</v>
      </c>
    </row>
    <row r="56" spans="1:2" x14ac:dyDescent="0.15">
      <c r="A56" s="78" t="s">
        <v>124</v>
      </c>
    </row>
    <row r="58" spans="1:2" x14ac:dyDescent="0.15">
      <c r="A58" t="s">
        <v>127</v>
      </c>
    </row>
    <row r="60" spans="1:2" x14ac:dyDescent="0.15">
      <c r="A60" s="79" t="s">
        <v>75</v>
      </c>
    </row>
    <row r="61" spans="1:2" x14ac:dyDescent="0.15">
      <c r="A61" t="s">
        <v>53</v>
      </c>
      <c r="B61" t="s">
        <v>141</v>
      </c>
    </row>
    <row r="62" spans="1:2" x14ac:dyDescent="0.15">
      <c r="A62" t="s">
        <v>23</v>
      </c>
      <c r="B62" t="s">
        <v>78</v>
      </c>
    </row>
    <row r="63" spans="1:2" x14ac:dyDescent="0.15">
      <c r="A63" t="s">
        <v>79</v>
      </c>
      <c r="B63" t="s">
        <v>80</v>
      </c>
    </row>
    <row r="64" spans="1:2" x14ac:dyDescent="0.15">
      <c r="A64" t="s">
        <v>77</v>
      </c>
      <c r="B64" t="s">
        <v>76</v>
      </c>
    </row>
    <row r="65" spans="1:2" x14ac:dyDescent="0.15">
      <c r="A65" t="s">
        <v>37</v>
      </c>
      <c r="B65" t="s">
        <v>76</v>
      </c>
    </row>
    <row r="66" spans="1:2" x14ac:dyDescent="0.15">
      <c r="A66" t="s">
        <v>14</v>
      </c>
      <c r="B66" t="s">
        <v>76</v>
      </c>
    </row>
    <row r="67" spans="1:2" x14ac:dyDescent="0.15">
      <c r="A67" t="s">
        <v>15</v>
      </c>
      <c r="B67" t="s">
        <v>81</v>
      </c>
    </row>
    <row r="71" spans="1:2" x14ac:dyDescent="0.15">
      <c r="A71" t="s">
        <v>125</v>
      </c>
    </row>
    <row r="73" spans="1:2" x14ac:dyDescent="0.15">
      <c r="A73" t="s">
        <v>128</v>
      </c>
    </row>
    <row r="74" spans="1:2" x14ac:dyDescent="0.15">
      <c r="A74" t="s">
        <v>137</v>
      </c>
    </row>
    <row r="75" spans="1:2" x14ac:dyDescent="0.15">
      <c r="A75" t="s">
        <v>129</v>
      </c>
    </row>
    <row r="76" spans="1:2" x14ac:dyDescent="0.15">
      <c r="A76" t="s">
        <v>130</v>
      </c>
    </row>
    <row r="78" spans="1:2" ht="54" x14ac:dyDescent="0.15">
      <c r="A78" s="4" t="s">
        <v>126</v>
      </c>
    </row>
    <row r="80" spans="1:2" x14ac:dyDescent="0.15">
      <c r="A80" s="78" t="s">
        <v>131</v>
      </c>
    </row>
    <row r="84" spans="1:1" x14ac:dyDescent="0.15">
      <c r="A84" t="s">
        <v>132</v>
      </c>
    </row>
    <row r="86" spans="1:1" x14ac:dyDescent="0.15">
      <c r="A86" t="s">
        <v>133</v>
      </c>
    </row>
    <row r="88" spans="1:1" x14ac:dyDescent="0.15">
      <c r="A88" s="80" t="s">
        <v>134</v>
      </c>
    </row>
    <row r="89" spans="1:1" x14ac:dyDescent="0.15">
      <c r="A89" t="s">
        <v>135</v>
      </c>
    </row>
    <row r="91" spans="1:1" x14ac:dyDescent="0.15">
      <c r="A91" t="s">
        <v>136</v>
      </c>
    </row>
  </sheetData>
  <phoneticPr fontId="3"/>
  <hyperlinks>
    <hyperlink ref="A88" r:id="rId1"/>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all_sheet_name</vt:lpstr>
      <vt:lpstr>→  </vt:lpstr>
      <vt:lpstr>月次まとめ(20年)</vt:lpstr>
      <vt:lpstr>→ </vt:lpstr>
      <vt:lpstr>2001</vt:lpstr>
      <vt:lpstr>2002</vt:lpstr>
      <vt:lpstr>2003</vt:lpstr>
      <vt:lpstr>2004</vt:lpstr>
      <vt:lpstr>2005</vt:lpstr>
      <vt:lpstr>2006</vt:lpstr>
      <vt:lpstr>2007</vt:lpstr>
      <vt:lpstr>2008</vt:lpstr>
      <vt:lpstr>2009</vt:lpstr>
      <vt:lpstr>2010</vt:lpstr>
      <vt:lpstr>2011</vt:lpstr>
      <vt:lpstr>2012</vt:lpstr>
      <vt:lpstr>各月雛形</vt:lpstr>
      <vt:lpstr>テスト</vt:lpstr>
      <vt:lpstr>ダミーデータ</vt:lpstr>
      <vt:lpstr>→</vt:lpstr>
      <vt:lpstr>初めに</vt:lpstr>
      <vt:lpstr>操作マニュアル(例月転記）</vt:lpstr>
      <vt:lpstr>初期設定</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2020-07-14T12:54:08Z</dcterms:modified>
</cp:coreProperties>
</file>